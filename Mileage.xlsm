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HI6494\Documents\documents_jason\stuff\"/>
    </mc:Choice>
  </mc:AlternateContent>
  <bookViews>
    <workbookView xWindow="0" yWindow="4320" windowWidth="19200" windowHeight="2865" activeTab="5"/>
  </bookViews>
  <sheets>
    <sheet name="Mileage Log" sheetId="1" r:id="rId1"/>
    <sheet name="Weekly Plan" sheetId="16" r:id="rId2"/>
    <sheet name="Shoes" sheetId="7" r:id="rId3"/>
    <sheet name="Shoe ID" sheetId="14" r:id="rId4"/>
    <sheet name="Upload" sheetId="1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#REF!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70" i="1" l="1"/>
  <c r="H1269" i="1" l="1"/>
  <c r="H1268" i="1"/>
  <c r="H1267" i="1" l="1"/>
  <c r="H1266" i="1" l="1"/>
  <c r="H1265" i="1" l="1"/>
  <c r="H1264" i="1" l="1"/>
  <c r="H1263" i="1" l="1"/>
  <c r="H1262" i="1"/>
  <c r="H1261" i="1"/>
  <c r="H1260" i="1" l="1"/>
  <c r="H1259" i="1" l="1"/>
  <c r="H1258" i="1" l="1"/>
  <c r="H1257" i="1"/>
  <c r="H1256" i="1"/>
  <c r="H1255" i="1" l="1"/>
  <c r="H1254" i="1" l="1"/>
  <c r="H1253" i="1" l="1"/>
  <c r="H1252" i="1"/>
  <c r="H1251" i="1" l="1"/>
  <c r="H1250" i="1" l="1"/>
  <c r="H1249" i="1" l="1"/>
  <c r="H1248" i="1"/>
  <c r="H1247" i="1" l="1"/>
  <c r="H1246" i="1"/>
  <c r="H1245" i="1" l="1"/>
  <c r="H1244" i="1" l="1"/>
  <c r="H1243" i="1"/>
  <c r="H1242" i="1" l="1"/>
  <c r="H1241" i="1" l="1"/>
  <c r="H1240" i="1" l="1"/>
  <c r="H1239" i="1" l="1"/>
  <c r="H1238" i="1"/>
  <c r="H1237" i="1" l="1"/>
  <c r="H1236" i="1" l="1"/>
  <c r="H1235" i="1" l="1"/>
  <c r="H1234" i="1"/>
  <c r="H1233" i="1" l="1"/>
  <c r="H1232" i="1"/>
  <c r="H1231" i="1"/>
  <c r="H1230" i="1" l="1"/>
  <c r="H1229" i="1" l="1"/>
  <c r="H1228" i="1" l="1"/>
  <c r="H1227" i="1" l="1"/>
  <c r="H1226" i="1" l="1"/>
  <c r="H1225" i="1" l="1"/>
  <c r="H1224" i="1" l="1"/>
  <c r="H1223" i="1" l="1"/>
  <c r="H1222" i="1" l="1"/>
  <c r="H1221" i="1" l="1"/>
  <c r="H1220" i="1" l="1"/>
  <c r="H1219" i="1" l="1"/>
  <c r="H1218" i="1" l="1"/>
  <c r="H1217" i="1" l="1"/>
  <c r="H1216" i="1" l="1"/>
  <c r="H1215" i="1" l="1"/>
  <c r="H1214" i="1" l="1"/>
  <c r="H1213" i="1" l="1"/>
  <c r="H1212" i="1" l="1"/>
  <c r="H1211" i="1" l="1"/>
  <c r="H1210" i="1"/>
  <c r="H1209" i="1" l="1"/>
  <c r="H1208" i="1" l="1"/>
  <c r="H1207" i="1" l="1"/>
  <c r="H1206" i="1" l="1"/>
  <c r="H1205" i="1" l="1"/>
  <c r="H1204" i="1" l="1"/>
  <c r="H1203" i="1" l="1"/>
  <c r="H1202" i="1" l="1"/>
  <c r="H1201" i="1"/>
  <c r="H1200" i="1" l="1"/>
  <c r="H1199" i="1" l="1"/>
  <c r="H1198" i="1"/>
  <c r="H1197" i="1" l="1"/>
  <c r="H1196" i="1" l="1"/>
  <c r="H1195" i="1" l="1"/>
  <c r="H1194" i="1" l="1"/>
  <c r="B2" i="16" l="1"/>
  <c r="A3" i="16"/>
  <c r="B3" i="16" s="1"/>
  <c r="A4" i="16" l="1"/>
  <c r="A5" i="16" s="1"/>
  <c r="A6" i="16" s="1"/>
  <c r="A7" i="16" s="1"/>
  <c r="A8" i="16" s="1"/>
  <c r="B8" i="16" s="1"/>
  <c r="B5" i="16"/>
  <c r="B6" i="16"/>
  <c r="B7" i="16"/>
  <c r="B4" i="16"/>
  <c r="H1193" i="1"/>
  <c r="H1192" i="1" l="1"/>
  <c r="C10" i="16" l="1"/>
  <c r="H1191" i="1"/>
  <c r="H1190" i="1" l="1"/>
  <c r="H1189" i="1" l="1"/>
  <c r="H1188" i="1" l="1"/>
  <c r="H1187" i="1" l="1"/>
  <c r="H1186" i="1" l="1"/>
  <c r="H1185" i="1"/>
  <c r="H1184" i="1" l="1"/>
  <c r="H1183" i="1" l="1"/>
  <c r="H1182" i="1" l="1"/>
  <c r="H1181" i="1"/>
  <c r="H1180" i="1" l="1"/>
  <c r="H1179" i="1" l="1"/>
  <c r="H1178" i="1" l="1"/>
  <c r="H1177" i="1"/>
  <c r="H1176" i="1" l="1"/>
  <c r="H1175" i="1" l="1"/>
  <c r="H1174" i="1" l="1"/>
  <c r="H1173" i="1"/>
  <c r="H1172" i="1" l="1"/>
  <c r="H1171" i="1" l="1"/>
  <c r="H1170" i="1" l="1"/>
  <c r="H1169" i="1"/>
  <c r="H1168" i="1"/>
  <c r="H1167" i="1" l="1"/>
  <c r="H1166" i="1"/>
  <c r="H1165" i="1" l="1"/>
  <c r="H1164" i="1" l="1"/>
  <c r="H1163" i="1" l="1"/>
  <c r="H1162" i="1" l="1"/>
  <c r="H1161" i="1"/>
  <c r="H1160" i="1"/>
  <c r="H1159" i="1" l="1"/>
  <c r="H1158" i="1" l="1"/>
  <c r="H1157" i="1" l="1"/>
  <c r="H1156" i="1" l="1"/>
  <c r="H1155" i="1" l="1"/>
  <c r="H1154" i="1" l="1"/>
  <c r="H1153" i="1"/>
  <c r="H1152" i="1" l="1"/>
  <c r="H1151" i="1" l="1"/>
  <c r="H1150" i="1" l="1"/>
  <c r="H1149" i="1"/>
  <c r="H1148" i="1"/>
  <c r="H1147" i="1"/>
  <c r="H1146" i="1" l="1"/>
  <c r="H1145" i="1" l="1"/>
  <c r="H1144" i="1" l="1"/>
  <c r="H1143" i="1"/>
  <c r="H1142" i="1"/>
  <c r="H1141" i="1" l="1"/>
  <c r="H1140" i="1" l="1"/>
  <c r="H1139" i="1"/>
  <c r="H1138" i="1" l="1"/>
  <c r="H1137" i="1" l="1"/>
  <c r="H1136" i="1"/>
  <c r="H1135" i="1"/>
  <c r="H1134" i="1"/>
  <c r="H1133" i="1" l="1"/>
  <c r="H1132" i="1" l="1"/>
  <c r="H1131" i="1" l="1"/>
  <c r="H1130" i="1"/>
  <c r="H1129" i="1"/>
  <c r="H1128" i="1"/>
  <c r="H1127" i="1" l="1"/>
  <c r="H1126" i="1"/>
  <c r="H1125" i="1" l="1"/>
  <c r="H1124" i="1" l="1"/>
  <c r="H1123" i="1" l="1"/>
  <c r="H1122" i="1"/>
  <c r="H1121" i="1"/>
  <c r="H1120" i="1" l="1"/>
  <c r="H1119" i="1" l="1"/>
  <c r="H1118" i="1"/>
  <c r="H1117" i="1" l="1"/>
  <c r="H1116" i="1" l="1"/>
  <c r="H1115" i="1" l="1"/>
  <c r="H1114" i="1"/>
  <c r="H1113" i="1" l="1"/>
  <c r="H1112" i="1"/>
  <c r="H1111" i="1"/>
  <c r="H1110" i="1" l="1"/>
  <c r="H1109" i="1" l="1"/>
  <c r="H1108" i="1"/>
  <c r="H1107" i="1" l="1"/>
  <c r="H1106" i="1" l="1"/>
  <c r="H1105" i="1" l="1"/>
  <c r="H1104" i="1"/>
  <c r="H1103" i="1" l="1"/>
  <c r="H1102" i="1" l="1"/>
  <c r="H1101" i="1" l="1"/>
  <c r="H1100" i="1" l="1"/>
  <c r="H1099" i="1" l="1"/>
  <c r="H1098" i="1" l="1"/>
  <c r="H1097" i="1" l="1"/>
  <c r="H1096" i="1" l="1"/>
  <c r="H1095" i="1" l="1"/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H525" i="1" l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H493" i="1" l="1"/>
  <c r="H492" i="1" l="1"/>
  <c r="H491" i="1"/>
  <c r="H490" i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</calcChain>
</file>

<file path=xl/sharedStrings.xml><?xml version="1.0" encoding="utf-8"?>
<sst xmlns="http://schemas.openxmlformats.org/spreadsheetml/2006/main" count="5014" uniqueCount="1140">
  <si>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</si>
  <si>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</si>
  <si>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</si>
  <si>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</si>
  <si>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</si>
  <si>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</si>
  <si>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</si>
  <si>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</si>
  <si>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</si>
  <si>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</si>
  <si>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</si>
  <si>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</si>
  <si>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</si>
  <si>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</si>
  <si>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</si>
  <si>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</si>
  <si>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</si>
  <si>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</si>
  <si>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</si>
  <si>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</si>
  <si>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</si>
  <si>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</si>
  <si>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</si>
  <si>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</si>
  <si>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</si>
  <si>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</si>
  <si>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</si>
  <si>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</si>
  <si>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</si>
  <si>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</si>
  <si>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</si>
  <si>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</si>
  <si>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</si>
  <si>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</si>
  <si>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</si>
  <si>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</si>
  <si>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</si>
  <si>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</si>
  <si>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</si>
  <si>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</si>
  <si>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</si>
  <si>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</si>
  <si>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</si>
  <si>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</si>
  <si>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</si>
  <si>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</si>
  <si>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</si>
  <si>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</si>
  <si>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</si>
  <si>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</si>
  <si>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</si>
  <si>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</si>
  <si>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</si>
  <si>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</si>
  <si>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</si>
  <si>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</si>
  <si>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</si>
  <si>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</si>
  <si>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</si>
  <si>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</si>
  <si>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</si>
  <si>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</si>
  <si>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</si>
  <si>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</si>
  <si>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</si>
  <si>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</si>
  <si>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</si>
  <si>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</si>
  <si>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</si>
  <si>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</si>
  <si>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</si>
  <si>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</si>
  <si>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</si>
  <si>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</si>
  <si>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</si>
  <si>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</si>
  <si>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</si>
  <si>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</si>
  <si>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</si>
  <si>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</si>
  <si>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</si>
  <si>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</si>
  <si>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</si>
  <si>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</si>
  <si>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</si>
  <si>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</si>
  <si>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</si>
  <si>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</si>
  <si>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</si>
  <si>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</si>
  <si>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</si>
  <si>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</si>
  <si>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</si>
  <si>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</si>
  <si>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</si>
  <si>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</si>
  <si>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</si>
  <si>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</si>
  <si>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</si>
  <si>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</si>
  <si>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</si>
  <si>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</si>
  <si>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</si>
  <si>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</si>
  <si>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</si>
  <si>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</si>
  <si>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</si>
  <si>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</si>
  <si>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</si>
  <si>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</si>
  <si>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</si>
  <si>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</si>
  <si>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</si>
  <si>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</si>
  <si>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</si>
  <si>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</si>
  <si>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</si>
  <si>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</si>
  <si>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</si>
  <si>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</si>
  <si>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</si>
  <si>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</si>
  <si>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</si>
  <si>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</si>
  <si>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</si>
  <si>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</si>
  <si>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</si>
  <si>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</si>
  <si>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</si>
  <si>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</si>
  <si>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</si>
  <si>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</si>
  <si>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</si>
  <si>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</si>
  <si>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</si>
  <si>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</si>
  <si>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</si>
  <si>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</si>
  <si>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</si>
  <si>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</si>
  <si>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</si>
  <si>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</si>
  <si>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</si>
  <si>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</si>
  <si>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</si>
  <si>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</si>
  <si>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</si>
  <si>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</si>
  <si>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</si>
  <si>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</si>
  <si>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</si>
  <si>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</si>
  <si>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</si>
  <si>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</si>
  <si>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</si>
  <si>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</si>
  <si>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</si>
  <si>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</si>
  <si>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</si>
  <si>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</si>
  <si>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</si>
  <si>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</si>
  <si>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</si>
  <si>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</si>
  <si>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</si>
  <si>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</si>
  <si>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</si>
  <si>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</si>
  <si>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</si>
  <si>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</si>
  <si>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</si>
  <si>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</si>
  <si>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</si>
  <si>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</si>
  <si>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</si>
  <si>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</si>
  <si>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</si>
  <si>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</si>
  <si>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</si>
  <si>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</si>
  <si>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</si>
  <si>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</si>
  <si>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</si>
  <si>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</si>
  <si>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</si>
  <si>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</si>
  <si>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</si>
  <si>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</si>
  <si>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</si>
  <si>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</si>
  <si>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</si>
  <si>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</si>
  <si>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</si>
  <si>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</si>
  <si>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</si>
  <si>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</si>
  <si>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</si>
  <si>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</si>
  <si>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</si>
  <si>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</si>
  <si>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</si>
  <si>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</si>
  <si>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</si>
  <si>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</si>
  <si>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</si>
  <si>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</si>
  <si>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</si>
  <si>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</si>
  <si>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</si>
  <si>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</si>
  <si>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</si>
  <si>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</si>
  <si>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</si>
  <si>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</si>
  <si>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</si>
  <si>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</si>
  <si>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</si>
  <si>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</si>
  <si>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</si>
  <si>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</si>
  <si>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</si>
  <si>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</si>
  <si>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</si>
  <si>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</si>
  <si>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</si>
  <si>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</si>
  <si>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</si>
  <si>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</si>
  <si>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</si>
  <si>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</si>
  <si>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</si>
  <si>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</si>
  <si>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</si>
  <si>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</si>
  <si>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</si>
  <si>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</si>
  <si>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</si>
  <si>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</si>
  <si>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</si>
  <si>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</si>
  <si>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</si>
  <si>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</si>
  <si>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</si>
  <si>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</si>
  <si>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</si>
  <si>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</si>
  <si>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</si>
  <si>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</si>
  <si>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</si>
  <si>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</si>
  <si>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Start 20160707 Saucony Ride 9 10.5</t>
  </si>
  <si>
    <t>N</t>
  </si>
  <si>
    <t>Skechers GoRun</t>
  </si>
  <si>
    <t>Start 20160721 Skechers GoRun 4 10.5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</si>
  <si>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</si>
  <si>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</si>
  <si>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</si>
  <si>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</si>
  <si>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</si>
  <si>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</si>
  <si>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</si>
  <si>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</si>
  <si>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</si>
  <si>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</si>
  <si>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</si>
  <si>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</si>
  <si>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</si>
  <si>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</si>
  <si>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</si>
  <si>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</si>
  <si>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</si>
  <si>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</si>
  <si>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</si>
  <si>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</si>
  <si>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</si>
  <si>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</si>
  <si>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</si>
  <si>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</si>
  <si>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</si>
  <si>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</si>
  <si>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</si>
  <si>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</si>
  <si>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</si>
  <si>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</si>
  <si>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</si>
  <si>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</si>
  <si>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</si>
  <si>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</si>
  <si>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</si>
  <si>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</si>
  <si>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</si>
  <si>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</si>
  <si>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</si>
  <si>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</si>
  <si>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</si>
  <si>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</si>
  <si>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</si>
  <si>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</si>
  <si>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</si>
  <si>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</si>
  <si>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</si>
  <si>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</si>
  <si>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</si>
  <si>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</si>
  <si>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</si>
  <si>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</si>
  <si>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</si>
  <si>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</si>
  <si>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</si>
  <si>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</si>
  <si>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</si>
  <si>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</si>
  <si>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</si>
  <si>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</si>
  <si>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</si>
  <si>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</si>
  <si>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</si>
  <si>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</si>
  <si>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</si>
  <si>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</si>
  <si>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</si>
  <si>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</si>
  <si>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</si>
  <si>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</si>
  <si>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</si>
  <si>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</si>
  <si>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</si>
  <si>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</si>
  <si>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</si>
  <si>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</si>
  <si>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</si>
  <si>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</si>
  <si>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</si>
  <si>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</si>
  <si>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</si>
  <si>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</si>
  <si>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</si>
  <si>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</si>
  <si>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</si>
  <si>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</si>
  <si>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</si>
  <si>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</si>
  <si>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</si>
  <si>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</si>
  <si>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</si>
  <si>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</si>
  <si>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</si>
  <si>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</si>
  <si>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</si>
  <si>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</si>
  <si>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</si>
  <si>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</si>
  <si>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</si>
  <si>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</si>
  <si>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</si>
  <si>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</si>
  <si>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</si>
  <si>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</si>
  <si>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</si>
  <si>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</si>
  <si>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</si>
  <si>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</si>
  <si>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</si>
  <si>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</si>
  <si>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</si>
  <si>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</si>
  <si>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</si>
  <si>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</si>
  <si>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</si>
  <si>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</si>
  <si>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</si>
  <si>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</si>
  <si>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</si>
  <si>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</si>
  <si>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</si>
  <si>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</si>
  <si>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</si>
  <si>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</si>
  <si>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</si>
  <si>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</si>
  <si>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</si>
  <si>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</si>
  <si>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</si>
  <si>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</si>
  <si>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</si>
  <si>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</si>
  <si>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</si>
  <si>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</si>
  <si>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</si>
  <si>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</si>
  <si>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</si>
  <si>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</si>
  <si>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</si>
  <si>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</si>
  <si>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</si>
  <si>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</si>
  <si>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</si>
  <si>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</si>
  <si>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</si>
  <si>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</si>
  <si>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</si>
  <si>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</si>
  <si>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</si>
  <si>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</si>
  <si>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</si>
  <si>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</si>
  <si>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</si>
  <si>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</si>
  <si>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</si>
  <si>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</si>
  <si>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</si>
  <si>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</si>
  <si>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</si>
  <si>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</si>
  <si>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</si>
  <si>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</si>
  <si>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</si>
  <si>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</si>
  <si>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</si>
  <si>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</si>
  <si>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</si>
  <si>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</si>
  <si>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</si>
  <si>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</si>
  <si>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</si>
  <si>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</si>
  <si>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</si>
  <si>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</si>
  <si>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</si>
  <si>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</si>
  <si>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</si>
  <si>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</si>
  <si>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</si>
  <si>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</si>
  <si>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</si>
  <si>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</si>
  <si>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</si>
  <si>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</si>
  <si>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</si>
  <si>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</si>
  <si>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</si>
  <si>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</si>
  <si>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</si>
  <si>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</si>
  <si>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</si>
  <si>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</si>
  <si>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</si>
  <si>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</si>
  <si>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</si>
  <si>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</si>
  <si>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</si>
  <si>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</si>
  <si>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</si>
  <si>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</si>
  <si>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</si>
  <si>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</si>
  <si>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</si>
  <si>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</si>
  <si>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</si>
  <si>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</si>
  <si>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</si>
  <si>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</si>
  <si>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</si>
  <si>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</si>
  <si>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</si>
  <si>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</si>
  <si>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</si>
  <si>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</si>
  <si>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</si>
  <si>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</si>
  <si>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</si>
  <si>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</si>
  <si>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</si>
  <si>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</si>
  <si>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</si>
  <si>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</si>
  <si>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</si>
  <si>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</si>
  <si>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</si>
  <si>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</si>
  <si>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</si>
  <si>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</si>
  <si>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</si>
  <si>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</si>
  <si>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</si>
  <si>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</si>
  <si>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</si>
  <si>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</si>
  <si>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</si>
  <si>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</si>
  <si>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</si>
  <si>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</si>
  <si>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</si>
  <si>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</si>
  <si>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</si>
  <si>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</si>
  <si>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</si>
  <si>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</si>
  <si>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</si>
  <si>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</si>
  <si>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</si>
  <si>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</si>
  <si>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</si>
  <si>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</si>
  <si>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</si>
  <si>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</si>
  <si>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</si>
  <si>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</si>
  <si>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</si>
  <si>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</si>
  <si>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</si>
  <si>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</si>
  <si>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</si>
  <si>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</si>
  <si>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</si>
  <si>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</si>
  <si>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</si>
  <si>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</si>
  <si>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</si>
  <si>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</si>
  <si>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</si>
  <si>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</si>
  <si>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</si>
  <si>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</si>
  <si>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</si>
  <si>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</si>
  <si>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</si>
  <si>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</si>
  <si>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</si>
  <si>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</si>
  <si>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</si>
  <si>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</si>
  <si>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</si>
  <si>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</si>
  <si>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</si>
  <si>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</si>
  <si>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</si>
  <si>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</si>
  <si>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</si>
  <si>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</si>
  <si>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</si>
  <si>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</si>
  <si>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</si>
  <si>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</si>
  <si>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</si>
  <si>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</si>
  <si>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</si>
  <si>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</si>
  <si>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</si>
  <si>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</si>
  <si>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</si>
  <si>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</si>
  <si>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</si>
  <si>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</si>
  <si>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</si>
  <si>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</si>
  <si>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</si>
  <si>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</si>
  <si>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</si>
  <si>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</si>
  <si>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</si>
  <si>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</si>
  <si>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</si>
  <si>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</si>
  <si>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</si>
  <si>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</si>
  <si>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</si>
  <si>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</si>
  <si>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</si>
  <si>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</si>
  <si>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</si>
  <si>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</si>
  <si>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</si>
  <si>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</si>
  <si>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</si>
  <si>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</si>
  <si>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</si>
  <si>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</si>
  <si>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</si>
  <si>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</si>
  <si>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</si>
  <si>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</si>
  <si>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</si>
  <si>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</si>
  <si>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</si>
  <si>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</si>
  <si>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</si>
  <si>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</si>
  <si>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</si>
  <si>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</si>
  <si>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</si>
  <si>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</si>
  <si>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</si>
  <si>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</si>
  <si>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</si>
  <si>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</si>
  <si>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</si>
  <si>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</si>
  <si>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</si>
  <si>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</si>
  <si>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</si>
  <si>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</si>
  <si>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</si>
  <si>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</si>
  <si>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</si>
  <si>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</si>
  <si>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</si>
  <si>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</si>
  <si>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</si>
  <si>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</si>
  <si>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</si>
  <si>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</si>
  <si>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</si>
  <si>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</si>
  <si>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</si>
  <si>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</si>
  <si>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</si>
  <si>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</si>
  <si>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</si>
  <si>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</si>
  <si>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</si>
  <si>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</si>
  <si>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</si>
  <si>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</si>
  <si>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</si>
  <si>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</si>
  <si>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</si>
  <si>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</si>
  <si>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</si>
  <si>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</si>
  <si>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</si>
  <si>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</si>
  <si>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</si>
  <si>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</si>
  <si>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</si>
  <si>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</si>
  <si>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</si>
  <si>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</si>
  <si>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</si>
  <si>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</si>
  <si>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</si>
  <si>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</si>
  <si>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</si>
  <si>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</si>
  <si>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</si>
  <si>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</si>
  <si>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</si>
  <si>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</si>
  <si>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</si>
  <si>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</si>
  <si>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</si>
  <si>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</si>
  <si>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</si>
  <si>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</si>
  <si>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</si>
  <si>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</si>
  <si>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</si>
  <si>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</si>
  <si>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</si>
  <si>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</si>
  <si>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</si>
  <si>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</si>
  <si>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</si>
  <si>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</si>
  <si>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</si>
  <si>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</si>
  <si>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</si>
  <si>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</si>
  <si>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</si>
  <si>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</si>
  <si>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</si>
  <si>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</si>
  <si>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</si>
  <si>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</si>
  <si>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</si>
  <si>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</si>
  <si>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</si>
  <si>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</si>
  <si>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</si>
  <si>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</si>
  <si>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</si>
  <si>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</si>
  <si>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</si>
  <si>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</si>
  <si>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</si>
  <si>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</si>
  <si>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</si>
  <si>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</si>
  <si>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</si>
  <si>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</si>
  <si>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</si>
  <si>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</si>
  <si>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</si>
  <si>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</si>
  <si>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</si>
  <si>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</si>
  <si>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</si>
  <si>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</si>
  <si>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</si>
  <si>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</si>
  <si>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</si>
  <si>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</si>
  <si>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</si>
  <si>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</si>
  <si>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</si>
  <si>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</si>
  <si>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</si>
  <si>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</si>
  <si>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</si>
  <si>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</si>
  <si>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</si>
  <si>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</si>
  <si>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</si>
  <si>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</si>
  <si>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</si>
  <si>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</si>
  <si>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</si>
  <si>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</si>
  <si>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</si>
  <si>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</si>
  <si>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</si>
  <si>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</si>
  <si>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</si>
  <si>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</si>
  <si>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</si>
  <si>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</si>
  <si>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</si>
  <si>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</si>
  <si>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</si>
  <si>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</si>
  <si>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</si>
  <si>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</si>
  <si>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</si>
  <si>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</si>
  <si>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</si>
  <si>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</si>
  <si>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</si>
  <si>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</si>
  <si>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</si>
  <si>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</si>
  <si>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</si>
  <si>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</si>
  <si>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</si>
  <si>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</si>
  <si>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</si>
  <si>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</si>
  <si>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</si>
  <si>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</si>
  <si>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</si>
  <si>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</si>
  <si>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</si>
  <si>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</si>
  <si>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</si>
  <si>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</si>
  <si>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</si>
  <si>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</si>
  <si>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</si>
  <si>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</si>
  <si>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</si>
  <si>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</si>
  <si>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</si>
  <si>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</si>
  <si>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</si>
  <si>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</si>
  <si>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</si>
  <si>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</si>
  <si>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</si>
  <si>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</si>
  <si>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</si>
  <si>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</si>
  <si>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</si>
  <si>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</si>
  <si>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</si>
  <si>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</si>
  <si>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</si>
  <si>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</si>
  <si>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</si>
  <si>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</si>
  <si>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</si>
  <si>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</si>
  <si>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</si>
  <si>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</si>
  <si>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</si>
  <si>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</si>
  <si>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</si>
  <si>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</si>
  <si>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</si>
  <si>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</si>
  <si>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</si>
  <si>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</si>
  <si>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</si>
  <si>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</si>
  <si>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</si>
  <si>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</si>
  <si>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</si>
  <si>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</si>
  <si>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</si>
  <si>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</si>
  <si>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</si>
  <si>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</si>
  <si>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</si>
  <si>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</si>
  <si>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</si>
  <si>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</si>
  <si>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</si>
  <si>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</si>
  <si>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</si>
  <si>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</si>
  <si>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</si>
  <si>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</si>
  <si>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</si>
  <si>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</si>
  <si>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</si>
  <si>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</si>
  <si>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</si>
  <si>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</si>
  <si>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</si>
  <si>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</si>
  <si>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</si>
  <si>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</si>
  <si>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</si>
  <si>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</si>
  <si>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</si>
  <si>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</si>
  <si>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</si>
  <si>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</si>
  <si>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</si>
  <si>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</si>
  <si>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</si>
  <si>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</si>
  <si>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</si>
  <si>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</si>
  <si>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</si>
  <si>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</si>
  <si>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</si>
  <si>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</si>
  <si>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</si>
  <si>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</si>
  <si>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</si>
  <si>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</si>
  <si>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</si>
  <si>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</si>
  <si>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</si>
  <si>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</si>
  <si>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</si>
  <si>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</si>
  <si>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</si>
  <si>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</si>
  <si>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</si>
  <si>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</si>
  <si>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</si>
  <si>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</si>
  <si>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</si>
  <si>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</si>
  <si>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</si>
  <si>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</si>
  <si>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</si>
  <si>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</si>
  <si>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</si>
  <si>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</si>
  <si>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</si>
  <si>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</si>
  <si>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</si>
  <si>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</si>
  <si>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</si>
  <si>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</si>
  <si>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</si>
  <si>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</si>
  <si>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</si>
  <si>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</si>
  <si>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</si>
  <si>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</si>
  <si>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</si>
  <si>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</si>
  <si>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</si>
  <si>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</si>
  <si>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</si>
  <si>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</si>
  <si>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</si>
  <si>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</si>
  <si>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</si>
  <si>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</si>
  <si>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</si>
  <si>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</si>
  <si>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</si>
  <si>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</si>
  <si>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</si>
  <si>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</si>
  <si>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</si>
  <si>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</si>
  <si>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</si>
  <si>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</si>
  <si>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</si>
  <si>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</si>
  <si>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</si>
  <si>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</si>
  <si>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</si>
  <si>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</si>
  <si>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</si>
  <si>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</si>
  <si>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</si>
  <si>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</si>
  <si>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</si>
  <si>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</si>
  <si>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</si>
  <si>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</si>
  <si>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</si>
  <si>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</si>
  <si>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</si>
  <si>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</si>
  <si>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</si>
  <si>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</si>
  <si>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</si>
  <si>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</si>
  <si>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</si>
  <si>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</si>
  <si>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</si>
  <si>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</si>
  <si>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</si>
  <si>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</si>
  <si>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</si>
  <si>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</si>
  <si>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</si>
  <si>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</si>
  <si>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</si>
  <si>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</si>
  <si>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</si>
  <si>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</si>
  <si>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</si>
  <si>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</si>
  <si>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</si>
  <si>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</si>
  <si>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</si>
  <si>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</si>
  <si>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</si>
  <si>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</si>
  <si>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</si>
  <si>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</si>
  <si>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</si>
  <si>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</si>
  <si>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</si>
  <si>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</si>
  <si>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</si>
  <si>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</si>
  <si>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</si>
  <si>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</si>
  <si>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</si>
  <si>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</si>
  <si>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</si>
  <si>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</si>
  <si>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</si>
  <si>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</si>
  <si>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</si>
  <si>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</si>
  <si>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</si>
  <si>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</si>
  <si>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</si>
  <si>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</si>
  <si>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</si>
  <si>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</si>
  <si>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</si>
  <si>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</si>
  <si>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</si>
  <si>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</si>
  <si>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</si>
  <si>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</si>
  <si>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</si>
  <si>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</si>
  <si>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</si>
  <si>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</si>
  <si>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</si>
  <si>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</si>
  <si>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</si>
  <si>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</si>
  <si>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</si>
  <si>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</si>
  <si>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</si>
  <si>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</si>
  <si>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</si>
  <si>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</si>
  <si>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</si>
  <si>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</si>
  <si>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</si>
  <si>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</si>
  <si>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</si>
  <si>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</si>
  <si>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</si>
  <si>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</si>
  <si>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</si>
  <si>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</si>
  <si>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</si>
  <si>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</si>
  <si>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</si>
  <si>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</si>
  <si>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</si>
  <si>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</si>
  <si>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</si>
  <si>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</si>
  <si>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</si>
  <si>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</si>
  <si>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</si>
  <si>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</si>
  <si>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</si>
  <si>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</si>
  <si>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</si>
  <si>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</si>
  <si>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</si>
  <si>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</si>
  <si>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</si>
  <si>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</si>
  <si>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</si>
  <si>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</si>
  <si>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</si>
  <si>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</si>
  <si>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</si>
  <si>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</si>
  <si>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</si>
  <si>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</si>
  <si>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</si>
  <si>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</si>
  <si>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</si>
  <si>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</si>
  <si>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</si>
  <si>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</si>
  <si>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</si>
  <si>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</si>
  <si>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</si>
  <si>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</si>
  <si>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</si>
  <si>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</si>
  <si>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</si>
  <si>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</si>
  <si>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</si>
  <si>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</si>
  <si>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</si>
  <si>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</si>
  <si>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</si>
  <si>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</si>
  <si>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</si>
  <si>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</si>
  <si>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</si>
  <si>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</si>
  <si>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</si>
  <si>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</si>
  <si>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</si>
  <si>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</si>
  <si>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</si>
  <si>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</si>
  <si>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</si>
  <si>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</si>
  <si>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</si>
  <si>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</si>
  <si>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</si>
  <si>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</si>
  <si>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</si>
  <si>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</si>
  <si>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</si>
  <si>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</si>
  <si>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</si>
  <si>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</si>
  <si>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</si>
  <si>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</si>
  <si>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</si>
  <si>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</si>
  <si>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</si>
  <si>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</si>
  <si>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</si>
  <si>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</si>
  <si>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</si>
  <si>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</si>
  <si>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</si>
  <si>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</si>
  <si>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</si>
  <si>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</si>
  <si>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</si>
  <si>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</si>
  <si>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</si>
  <si>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</si>
  <si>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</si>
  <si>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</si>
  <si>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</si>
  <si>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</si>
  <si>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</si>
  <si>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</si>
  <si>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</si>
  <si>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</si>
  <si>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</si>
  <si>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</si>
  <si>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</si>
  <si>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</si>
  <si>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</si>
  <si>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</si>
  <si>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</si>
  <si>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</si>
  <si>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</si>
  <si>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</si>
  <si>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</si>
  <si>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</si>
  <si>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</si>
  <si>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</si>
  <si>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</si>
  <si>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</si>
  <si>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</si>
  <si>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</si>
  <si>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</si>
  <si>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</si>
  <si>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</si>
  <si>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</si>
  <si>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</si>
  <si>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</si>
  <si>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</si>
  <si>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</si>
  <si>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</si>
  <si>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</si>
  <si>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</si>
  <si>
    <t>Start 20190424 Adidas Adizero Prime 11</t>
  </si>
  <si>
    <t>Adidas Adizero Prime</t>
  </si>
  <si>
    <t>11:07</t>
  </si>
  <si>
    <t>10:19</t>
  </si>
  <si>
    <t>Adidas Adizero Adios 4</t>
  </si>
  <si>
    <t>Start 20190706 Salomon Sense Max 2 11</t>
  </si>
  <si>
    <t>Salomon Sense Max 2</t>
  </si>
  <si>
    <t>13:51</t>
  </si>
  <si>
    <t>Start 20190601 Adidas Adizero Boston 7 11</t>
  </si>
  <si>
    <t>Start 20190614 Adidas Adizero Adios 4 11</t>
  </si>
  <si>
    <t>15:57</t>
  </si>
  <si>
    <t>15:05</t>
  </si>
  <si>
    <t>10:39</t>
  </si>
  <si>
    <t>10:27</t>
  </si>
  <si>
    <t>13:39</t>
  </si>
  <si>
    <t>Mizuno Wave Shadow 2</t>
  </si>
  <si>
    <t>Cushioned Trail</t>
  </si>
  <si>
    <t>Mileage</t>
  </si>
  <si>
    <t>Effort Level</t>
  </si>
  <si>
    <t>10:32</t>
  </si>
  <si>
    <t>Start 20190912 Mizuno Wave Shadow 2 11</t>
  </si>
  <si>
    <t>Start 20191024 Brooks Launch 6 11</t>
  </si>
  <si>
    <t>Brooks Launch 6</t>
  </si>
  <si>
    <t>Brooks Ghost 12</t>
  </si>
  <si>
    <t>Start 20191129 Brooks Ghost 12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</si>
</sst>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83C5C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5" borderId="0" xfId="0" applyNumberFormat="1" applyFill="1"/>
    <xf numFmtId="0" fontId="0" fillId="5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6" borderId="2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14" fontId="0" fillId="0" borderId="0" xfId="0" applyNumberFormat="1"/>
    <xf numFmtId="14" fontId="0" fillId="4" borderId="0" xfId="0" applyNumberFormat="1" applyFill="1"/>
  </cellXfs>
  <cellStyles count="2">
    <cellStyle name="Hyperlink" xfId="1" builtinId="8"/>
    <cellStyle name="Normal" xfId="0" builtinId="0"/>
  </cellStyles>
  <dxfs count="28"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447"/>
  <sheetViews>
    <sheetView workbookViewId="0">
      <pane ySplit="4" topLeftCell="A1250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2" bestFit="1" customWidth="1"/>
    <col min="7" max="7" width="15.42578125" style="22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1" t="s">
        <v>208</v>
      </c>
      <c r="G4" s="21" t="s">
        <v>246</v>
      </c>
      <c r="H4" s="3" t="s">
        <v>190</v>
      </c>
      <c r="I4" s="3" t="s">
        <v>196</v>
      </c>
      <c r="J4" s="3" t="s">
        <v>280</v>
      </c>
      <c r="K4" s="3" t="s">
        <v>281</v>
      </c>
      <c r="L4" s="3" t="s">
        <v>282</v>
      </c>
      <c r="M4" s="3" t="s">
        <v>286</v>
      </c>
      <c r="N4" s="3" t="s">
        <v>283</v>
      </c>
      <c r="O4" s="3" t="s">
        <v>284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3"/>
      <c r="G175" s="23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3"/>
      <c r="G176" s="23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3"/>
      <c r="G177" s="23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3"/>
      <c r="G178" s="23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3"/>
      <c r="G179" s="23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3"/>
      <c r="G180" s="23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3"/>
      <c r="G181" s="23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3"/>
      <c r="G182" s="23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3"/>
      <c r="G183" s="23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3"/>
      <c r="G184" s="23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3"/>
      <c r="G185" s="23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3"/>
      <c r="G186" s="23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3"/>
      <c r="G187" s="23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3"/>
      <c r="G188" s="23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3"/>
      <c r="G189" s="23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3"/>
      <c r="G190" s="23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3"/>
      <c r="G191" s="23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3"/>
      <c r="G192" s="23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3"/>
      <c r="G193" s="23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3"/>
      <c r="G194" s="23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3"/>
      <c r="G195" s="23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3"/>
      <c r="G196" s="23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3"/>
      <c r="G197" s="23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3"/>
      <c r="G198" s="23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3"/>
      <c r="G199" s="23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3"/>
      <c r="G200" s="23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3"/>
      <c r="G201" s="23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3"/>
      <c r="G202" s="23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3"/>
      <c r="G203" s="23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3"/>
      <c r="G204" s="23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3"/>
      <c r="G205" s="23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3"/>
      <c r="G206" s="23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3"/>
      <c r="G207" s="23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3"/>
      <c r="G208" s="23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3"/>
      <c r="G209" s="23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3"/>
      <c r="G210" s="23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3"/>
      <c r="G211" s="23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3"/>
      <c r="G212" s="23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3"/>
      <c r="G213" s="23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3"/>
      <c r="G214" s="23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3"/>
      <c r="G215" s="23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3"/>
      <c r="G216" s="23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3"/>
      <c r="G217" s="23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3"/>
      <c r="G218" s="23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3"/>
      <c r="G219" s="23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3"/>
      <c r="G220" s="23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3"/>
      <c r="G221" s="23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3"/>
      <c r="G222" s="23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3"/>
      <c r="G223" s="23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3"/>
      <c r="G224" s="23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3"/>
      <c r="G225" s="23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3"/>
      <c r="G226" s="23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3"/>
      <c r="G227" s="23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3"/>
      <c r="G228" s="23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3"/>
      <c r="G229" s="23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3"/>
      <c r="G230" s="23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3"/>
      <c r="G231" s="23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3"/>
      <c r="G232" s="23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3"/>
      <c r="G233" s="23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3"/>
      <c r="G234" s="23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3"/>
      <c r="G235" s="23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3"/>
      <c r="G236" s="23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3"/>
      <c r="G237" s="23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3"/>
      <c r="G238" s="23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3"/>
      <c r="G239" s="23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3"/>
      <c r="G240" s="23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3"/>
      <c r="G241" s="23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3"/>
      <c r="G242" s="23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3"/>
      <c r="G243" s="23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3"/>
      <c r="G244" s="23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3"/>
      <c r="G245" s="23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3"/>
      <c r="G246" s="23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3"/>
      <c r="G247" s="23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3"/>
      <c r="G248" s="23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3"/>
      <c r="G249" s="23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3"/>
      <c r="G250" s="23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3"/>
      <c r="G251" s="23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3"/>
      <c r="G252" s="23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3"/>
      <c r="G253" s="23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3"/>
      <c r="G254" s="23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3"/>
      <c r="G255" s="23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3"/>
      <c r="G256" s="23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3"/>
      <c r="G257" s="23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3"/>
      <c r="G258" s="23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3"/>
      <c r="G259" s="23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3"/>
      <c r="G260" s="23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3"/>
      <c r="G261" s="23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3"/>
      <c r="G262" s="23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3"/>
      <c r="G263" s="23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3"/>
      <c r="G264" s="23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3"/>
      <c r="G265" s="23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3"/>
      <c r="G266" s="23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3"/>
      <c r="G267" s="23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3"/>
      <c r="G268" s="23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3"/>
      <c r="G269" s="23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3"/>
      <c r="G270" s="23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3"/>
      <c r="G271" s="23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3"/>
      <c r="G272" s="23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3"/>
      <c r="G273" s="23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3"/>
      <c r="G274" s="23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3"/>
      <c r="G275" s="23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3"/>
      <c r="G276" s="23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3"/>
      <c r="G277" s="23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3"/>
      <c r="G278" s="23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3"/>
      <c r="G279" s="23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3"/>
      <c r="G280" s="23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3"/>
      <c r="G281" s="23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3"/>
      <c r="G282" s="23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3"/>
      <c r="G283" s="23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3"/>
      <c r="G284" s="23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3"/>
      <c r="G285" s="23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3"/>
      <c r="G286" s="23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3"/>
      <c r="G287" s="23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3"/>
      <c r="G288" s="23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3"/>
      <c r="G289" s="23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3"/>
      <c r="G290" s="23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3"/>
      <c r="G291" s="23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3"/>
      <c r="G292" s="23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3"/>
      <c r="G293" s="23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3"/>
      <c r="G294" s="23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3"/>
      <c r="G295" s="23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3"/>
      <c r="G296" s="23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3"/>
      <c r="G297" s="23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3"/>
      <c r="G298" s="23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3"/>
      <c r="G299" s="23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3"/>
      <c r="G300" s="23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3"/>
      <c r="G301" s="23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3"/>
      <c r="G302" s="23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3"/>
      <c r="G303" s="23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3"/>
      <c r="G304" s="23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3"/>
      <c r="G305" s="23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3"/>
      <c r="G306" s="23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3"/>
      <c r="G307" s="23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3"/>
      <c r="G308" s="23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3"/>
      <c r="G309" s="23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3"/>
      <c r="G310" s="23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3"/>
      <c r="G311" s="23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3"/>
      <c r="G312" s="23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3"/>
      <c r="G313" s="23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3"/>
      <c r="G314" s="23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3"/>
      <c r="G315" s="23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3"/>
      <c r="G316" s="23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3"/>
      <c r="G317" s="23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3"/>
      <c r="G318" s="23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3"/>
      <c r="G319" s="23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3"/>
      <c r="G320" s="23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3"/>
      <c r="G321" s="23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3"/>
      <c r="G322" s="23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3"/>
      <c r="G323" s="23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3"/>
      <c r="G324" s="23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3"/>
      <c r="G325" s="23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3"/>
      <c r="G326" s="23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3"/>
      <c r="G327" s="23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3"/>
      <c r="G328" s="23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3"/>
      <c r="G329" s="23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3"/>
      <c r="G330" s="23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3"/>
      <c r="G331" s="23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3"/>
      <c r="G332" s="23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3"/>
      <c r="G333" s="23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3"/>
      <c r="G334" s="23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3"/>
      <c r="G335" s="23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3"/>
      <c r="G336" s="23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3"/>
      <c r="G337" s="23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3"/>
      <c r="G338" s="23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3"/>
      <c r="G339" s="23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3"/>
      <c r="G340" s="23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3"/>
      <c r="G341" s="23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3"/>
      <c r="G342" s="23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3"/>
      <c r="G343" s="23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3"/>
      <c r="G344" s="23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3"/>
      <c r="G345" s="23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3"/>
      <c r="G346" s="23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3"/>
      <c r="G347" s="23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3"/>
      <c r="G348" s="23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3"/>
      <c r="G349" s="23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3"/>
      <c r="G350" s="23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3"/>
      <c r="G351" s="23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3"/>
      <c r="G352" s="23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3"/>
      <c r="G353" s="23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3"/>
      <c r="G354" s="23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3"/>
      <c r="G355" s="23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3"/>
      <c r="G356" s="23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3"/>
      <c r="G357" s="23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3"/>
      <c r="G358" s="23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3"/>
      <c r="G359" s="23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3"/>
      <c r="G360" s="23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3"/>
      <c r="G361" s="23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3"/>
      <c r="G362" s="23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3"/>
      <c r="G363" s="23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3"/>
      <c r="G364" s="23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3"/>
      <c r="G365" s="23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3"/>
      <c r="G366" s="23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3"/>
      <c r="G367" s="23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3"/>
      <c r="G368" s="23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3"/>
      <c r="G369" s="23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3"/>
      <c r="G370" s="23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3"/>
      <c r="G371" s="23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3"/>
      <c r="G372" s="23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3"/>
      <c r="G373" s="23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3"/>
      <c r="G374" s="23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3"/>
      <c r="G375" s="23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3"/>
      <c r="G376" s="23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3"/>
      <c r="G377" s="23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3"/>
      <c r="G378" s="23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3"/>
      <c r="G379" s="23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3"/>
      <c r="G380" s="23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3"/>
      <c r="G381" s="23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3"/>
      <c r="G382" s="23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3"/>
      <c r="G383" s="23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3"/>
      <c r="G384" s="23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3"/>
      <c r="G385" s="23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3"/>
      <c r="G386" s="23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3"/>
      <c r="G387" s="23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3"/>
      <c r="G388" s="23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3"/>
      <c r="G389" s="23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3"/>
      <c r="G390" s="23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3"/>
      <c r="G391" s="23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3"/>
      <c r="G392" s="23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3"/>
      <c r="G393" s="23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3"/>
      <c r="G394" s="23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3"/>
      <c r="G395" s="23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3"/>
      <c r="G396" s="23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3"/>
      <c r="G397" s="23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3"/>
      <c r="G398" s="23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3"/>
      <c r="G399" s="23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3"/>
      <c r="G400" s="23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3"/>
      <c r="G401" s="23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3"/>
      <c r="G402" s="23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3"/>
      <c r="G403" s="23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3"/>
      <c r="G404" s="23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3"/>
      <c r="G405" s="23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3"/>
      <c r="G406" s="23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3"/>
      <c r="G407" s="23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3"/>
      <c r="G408" s="23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3"/>
      <c r="G409" s="23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3"/>
      <c r="G410" s="23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3"/>
      <c r="G411" s="23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3"/>
      <c r="G412" s="23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3"/>
      <c r="G413" s="23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3"/>
      <c r="G414" s="23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3"/>
      <c r="G415" s="23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3"/>
      <c r="G416" s="23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3"/>
      <c r="G417" s="23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3"/>
      <c r="G418" s="23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3"/>
      <c r="G419" s="23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3"/>
      <c r="G420" s="23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3"/>
      <c r="G421" s="23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3"/>
      <c r="G422" s="23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3"/>
      <c r="G423" s="23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3"/>
      <c r="G424" s="23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3"/>
      <c r="G425" s="23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3"/>
      <c r="G426" s="23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3"/>
      <c r="G427" s="23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3"/>
      <c r="G428" s="23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3"/>
      <c r="G429" s="23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3"/>
      <c r="G430" s="23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3"/>
      <c r="G431" s="23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3"/>
      <c r="G432" s="23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3"/>
      <c r="G433" s="23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3"/>
      <c r="G434" s="23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3"/>
      <c r="G435" s="23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3"/>
      <c r="G436" s="23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3"/>
      <c r="G437" s="23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3"/>
      <c r="G438" s="23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3"/>
      <c r="G439" s="23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3"/>
      <c r="G440" s="23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3"/>
      <c r="G441" s="23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3"/>
      <c r="G442" s="23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3"/>
      <c r="G443" s="23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3"/>
      <c r="G444" s="23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3"/>
      <c r="G445" s="23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3"/>
      <c r="G446" s="23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3"/>
      <c r="G447" s="23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3"/>
      <c r="G448" s="23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3"/>
      <c r="G449" s="23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3"/>
      <c r="G450" s="23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3"/>
      <c r="G451" s="23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3"/>
      <c r="G452" s="23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3"/>
      <c r="G453" s="23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3"/>
      <c r="G454" s="23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3"/>
      <c r="G455" s="23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3"/>
      <c r="G456" s="23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3"/>
      <c r="G457" s="23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3"/>
      <c r="G458" s="23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3"/>
      <c r="G459" s="23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3"/>
      <c r="G460" s="23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3"/>
      <c r="G461" s="23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3"/>
      <c r="G462" s="23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3"/>
      <c r="G463" s="23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3"/>
      <c r="G464" s="23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3"/>
      <c r="G465" s="23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3"/>
      <c r="G466" s="23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3"/>
      <c r="G467" s="23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3"/>
      <c r="G468" s="23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3"/>
      <c r="G469" s="23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3"/>
      <c r="G470" s="23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3"/>
      <c r="G471" s="23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3"/>
      <c r="G472" s="23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3"/>
      <c r="G473" s="23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3"/>
      <c r="G474" s="23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3"/>
      <c r="G475" s="23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3"/>
      <c r="G476" s="23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3"/>
      <c r="G477" s="23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3"/>
      <c r="G478" s="23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3"/>
      <c r="G479" s="23"/>
      <c r="H479" s="1" t="str">
        <f t="shared" si="7"/>
        <v>Mon</v>
      </c>
      <c r="I479" s="8" t="s">
        <v>217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3"/>
      <c r="G480" s="23"/>
      <c r="H480" s="1" t="str">
        <f t="shared" si="7"/>
        <v>Tue</v>
      </c>
      <c r="I480" s="8" t="s">
        <v>217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3"/>
      <c r="G481" s="23"/>
      <c r="H481" s="1" t="str">
        <f t="shared" si="7"/>
        <v>Wed</v>
      </c>
      <c r="I481" s="8" t="s">
        <v>217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3"/>
      <c r="G482" s="23"/>
      <c r="H482" s="1" t="str">
        <f t="shared" si="7"/>
        <v>Fri</v>
      </c>
      <c r="I482" s="8" t="s">
        <v>217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168</v>
      </c>
      <c r="F483" s="23"/>
      <c r="G483" s="23"/>
      <c r="H483" s="1" t="str">
        <f t="shared" si="7"/>
        <v>Sat</v>
      </c>
      <c r="I483" s="8" t="s">
        <v>217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3"/>
      <c r="G484" s="23"/>
      <c r="H484" s="1" t="str">
        <f t="shared" si="7"/>
        <v>Sat</v>
      </c>
      <c r="I484" s="8" t="s">
        <v>217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3"/>
      <c r="G485" s="23"/>
      <c r="H485" s="1" t="str">
        <f t="shared" si="7"/>
        <v>Sun</v>
      </c>
      <c r="I485" s="8" t="s">
        <v>217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3"/>
      <c r="G486" s="23"/>
      <c r="H486" s="1" t="str">
        <f t="shared" si="7"/>
        <v>Mon</v>
      </c>
      <c r="I486" s="8" t="s">
        <v>218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3"/>
      <c r="G487" s="23"/>
      <c r="H487" s="1" t="str">
        <f t="shared" si="7"/>
        <v>Tue</v>
      </c>
      <c r="I487" s="8" t="s">
        <v>218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3"/>
      <c r="G488" s="23"/>
      <c r="H488" s="1" t="str">
        <f t="shared" si="7"/>
        <v>Wed</v>
      </c>
      <c r="I488" s="8" t="s">
        <v>218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3"/>
      <c r="G489" s="23"/>
      <c r="H489" s="1" t="str">
        <f t="shared" si="7"/>
        <v>Fri</v>
      </c>
      <c r="I489" s="8" t="s">
        <v>218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3">
        <v>1011</v>
      </c>
      <c r="G490" s="23"/>
      <c r="H490" s="1" t="str">
        <f t="shared" ref="H490:H518" si="8">TEXT(B490,"ddd")</f>
        <v>Sat</v>
      </c>
      <c r="I490" s="8" t="s">
        <v>218</v>
      </c>
      <c r="J490" s="1">
        <v>60</v>
      </c>
      <c r="K490" s="8" t="s">
        <v>285</v>
      </c>
      <c r="L490" s="1">
        <v>80</v>
      </c>
      <c r="M490" s="8" t="s">
        <v>287</v>
      </c>
      <c r="N490" s="1">
        <v>6</v>
      </c>
      <c r="O490" s="8" t="s">
        <v>288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3">
        <v>69</v>
      </c>
      <c r="G491" s="23"/>
      <c r="H491" s="1" t="str">
        <f t="shared" si="8"/>
        <v>Sun</v>
      </c>
      <c r="I491" s="8" t="s">
        <v>218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3">
        <v>183</v>
      </c>
      <c r="G492" s="23"/>
      <c r="H492" s="1" t="str">
        <f t="shared" si="8"/>
        <v>Mon</v>
      </c>
      <c r="I492" s="8" t="s">
        <v>219</v>
      </c>
      <c r="J492" s="1">
        <v>60</v>
      </c>
      <c r="K492" s="8" t="s">
        <v>289</v>
      </c>
      <c r="L492" s="1">
        <v>80</v>
      </c>
      <c r="M492" s="8" t="s">
        <v>290</v>
      </c>
      <c r="N492" s="1">
        <v>9</v>
      </c>
      <c r="O492" s="8" t="s">
        <v>291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3">
        <v>138</v>
      </c>
      <c r="G493" s="23"/>
      <c r="H493" s="1" t="str">
        <f t="shared" si="8"/>
        <v>Tue</v>
      </c>
      <c r="I493" s="8" t="s">
        <v>219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3">
        <v>106</v>
      </c>
      <c r="G494" s="23"/>
      <c r="H494" s="1" t="str">
        <f t="shared" si="8"/>
        <v>Wed</v>
      </c>
      <c r="I494" s="8" t="s">
        <v>219</v>
      </c>
      <c r="J494" s="1">
        <v>60</v>
      </c>
      <c r="K494" s="8" t="s">
        <v>172</v>
      </c>
      <c r="L494" s="1">
        <v>80</v>
      </c>
      <c r="M494" s="8" t="s">
        <v>292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3">
        <v>145</v>
      </c>
      <c r="G495" s="23"/>
      <c r="H495" s="1" t="str">
        <f t="shared" si="8"/>
        <v>Fri</v>
      </c>
      <c r="I495" s="8" t="s">
        <v>219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3">
        <v>271</v>
      </c>
      <c r="G496" s="23"/>
      <c r="H496" s="1" t="str">
        <f t="shared" si="8"/>
        <v>Sat</v>
      </c>
      <c r="I496" s="8" t="s">
        <v>219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221</v>
      </c>
      <c r="F497" s="23">
        <v>48</v>
      </c>
      <c r="G497" s="23"/>
      <c r="H497" s="1" t="str">
        <f t="shared" si="8"/>
        <v>Sun</v>
      </c>
      <c r="I497" s="8" t="s">
        <v>219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3">
        <v>48</v>
      </c>
      <c r="G498" s="23"/>
      <c r="H498" s="1" t="str">
        <f t="shared" si="8"/>
        <v>Mon</v>
      </c>
      <c r="I498" s="8" t="s">
        <v>220</v>
      </c>
      <c r="J498" s="1">
        <v>60</v>
      </c>
      <c r="K498" s="8" t="s">
        <v>289</v>
      </c>
      <c r="L498" s="1">
        <v>80</v>
      </c>
      <c r="M498" s="8" t="s">
        <v>290</v>
      </c>
      <c r="N498" s="1">
        <v>4</v>
      </c>
      <c r="O498" s="8" t="s">
        <v>291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3">
        <v>127</v>
      </c>
      <c r="G499" s="23"/>
      <c r="H499" s="1" t="str">
        <f t="shared" si="8"/>
        <v>Tue</v>
      </c>
      <c r="I499" s="8" t="s">
        <v>220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3">
        <v>242</v>
      </c>
      <c r="G500" s="23"/>
      <c r="H500" s="1" t="str">
        <f t="shared" si="8"/>
        <v>Wed</v>
      </c>
      <c r="I500" s="8" t="s">
        <v>220</v>
      </c>
      <c r="J500" s="1">
        <v>60</v>
      </c>
      <c r="K500" s="8" t="s">
        <v>289</v>
      </c>
      <c r="L500" s="1">
        <v>80</v>
      </c>
      <c r="M500" s="8" t="s">
        <v>290</v>
      </c>
      <c r="N500" s="1">
        <v>5</v>
      </c>
      <c r="O500" s="8" t="s">
        <v>291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3">
        <v>118</v>
      </c>
      <c r="G501" s="23"/>
      <c r="H501" s="1" t="str">
        <f t="shared" si="8"/>
        <v>Fri</v>
      </c>
      <c r="I501" s="8" t="s">
        <v>220</v>
      </c>
      <c r="J501" s="1">
        <v>60</v>
      </c>
      <c r="K501" s="8" t="s">
        <v>289</v>
      </c>
      <c r="L501" s="1">
        <v>80</v>
      </c>
      <c r="M501" s="8" t="s">
        <v>290</v>
      </c>
      <c r="N501" s="1">
        <v>4</v>
      </c>
      <c r="O501" s="8" t="s">
        <v>291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3">
        <v>408</v>
      </c>
      <c r="G502" s="23"/>
      <c r="H502" s="1" t="str">
        <f t="shared" si="8"/>
        <v>Sat</v>
      </c>
      <c r="I502" s="8" t="s">
        <v>220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3">
        <v>48</v>
      </c>
      <c r="G503" s="23"/>
      <c r="H503" s="1" t="str">
        <f t="shared" si="8"/>
        <v>Sun</v>
      </c>
      <c r="I503" s="8" t="s">
        <v>220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224</v>
      </c>
      <c r="F504" s="23">
        <v>160</v>
      </c>
      <c r="G504" s="23"/>
      <c r="H504" s="1" t="str">
        <f t="shared" si="8"/>
        <v>Mon</v>
      </c>
      <c r="I504" s="8" t="s">
        <v>217</v>
      </c>
      <c r="J504" s="1">
        <v>60</v>
      </c>
      <c r="K504" s="8" t="s">
        <v>173</v>
      </c>
      <c r="L504" s="1">
        <v>90</v>
      </c>
      <c r="M504" s="8" t="s">
        <v>293</v>
      </c>
      <c r="N504" s="1">
        <v>6</v>
      </c>
      <c r="O504" s="8" t="s">
        <v>291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3">
        <v>418</v>
      </c>
      <c r="G505" s="23"/>
      <c r="H505" s="1" t="str">
        <f t="shared" si="8"/>
        <v>Tue</v>
      </c>
      <c r="I505" s="8" t="s">
        <v>217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224</v>
      </c>
      <c r="F506" s="23">
        <v>77</v>
      </c>
      <c r="G506" s="23"/>
      <c r="H506" s="1" t="str">
        <f t="shared" si="8"/>
        <v>Wed</v>
      </c>
      <c r="I506" s="8" t="s">
        <v>217</v>
      </c>
      <c r="J506" s="1">
        <v>60</v>
      </c>
      <c r="K506" s="8" t="s">
        <v>172</v>
      </c>
      <c r="L506" s="1">
        <v>80</v>
      </c>
      <c r="M506" s="8" t="s">
        <v>292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3">
        <v>118</v>
      </c>
      <c r="G507" s="23"/>
      <c r="H507" s="1" t="str">
        <f t="shared" si="8"/>
        <v>Fri</v>
      </c>
      <c r="I507" s="8" t="s">
        <v>217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3">
        <v>717</v>
      </c>
      <c r="G508" s="23"/>
      <c r="H508" s="1" t="str">
        <f t="shared" si="8"/>
        <v>Sat</v>
      </c>
      <c r="I508" s="8" t="s">
        <v>217</v>
      </c>
      <c r="J508" s="1">
        <v>75</v>
      </c>
      <c r="K508" s="8" t="s">
        <v>274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225</v>
      </c>
      <c r="F509" s="23">
        <v>47</v>
      </c>
      <c r="G509" s="23"/>
      <c r="H509" s="1" t="str">
        <f t="shared" si="8"/>
        <v>Sun</v>
      </c>
      <c r="I509" s="8" t="s">
        <v>217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3">
        <v>628</v>
      </c>
      <c r="G510" s="23"/>
      <c r="H510" s="1" t="str">
        <f t="shared" si="8"/>
        <v>Mon</v>
      </c>
      <c r="I510" s="8" t="s">
        <v>218</v>
      </c>
      <c r="J510" s="1">
        <v>60</v>
      </c>
      <c r="K510" s="8" t="s">
        <v>171</v>
      </c>
      <c r="L510" s="1">
        <v>85</v>
      </c>
      <c r="M510" s="8" t="s">
        <v>294</v>
      </c>
      <c r="N510" s="1">
        <v>4</v>
      </c>
      <c r="O510" s="8" t="s">
        <v>288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3">
        <v>142</v>
      </c>
      <c r="G511" s="23"/>
      <c r="H511" s="1" t="str">
        <f t="shared" si="8"/>
        <v>Tue</v>
      </c>
      <c r="I511" s="8" t="s">
        <v>218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3">
        <v>101</v>
      </c>
      <c r="G512" s="23"/>
      <c r="H512" s="1" t="str">
        <f t="shared" si="8"/>
        <v>Wed</v>
      </c>
      <c r="I512" s="8" t="s">
        <v>218</v>
      </c>
      <c r="J512" s="1">
        <v>60</v>
      </c>
      <c r="K512" s="8" t="s">
        <v>172</v>
      </c>
      <c r="L512" s="1">
        <v>80</v>
      </c>
      <c r="M512" s="8" t="s">
        <v>292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3">
        <v>514</v>
      </c>
      <c r="G513" s="23"/>
      <c r="H513" s="1" t="str">
        <f t="shared" si="8"/>
        <v>Fri</v>
      </c>
      <c r="I513" s="8" t="s">
        <v>218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241</v>
      </c>
      <c r="F514" s="23">
        <v>20</v>
      </c>
      <c r="G514" s="23"/>
      <c r="H514" s="1" t="str">
        <f t="shared" si="8"/>
        <v>Sat</v>
      </c>
      <c r="I514" s="8" t="s">
        <v>218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242</v>
      </c>
      <c r="F515" s="23">
        <v>18</v>
      </c>
      <c r="G515" s="23"/>
      <c r="H515" s="1" t="str">
        <f t="shared" si="8"/>
        <v>Sun</v>
      </c>
      <c r="I515" s="8" t="s">
        <v>218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3">
        <v>21</v>
      </c>
      <c r="G516" s="23"/>
      <c r="H516" s="1" t="str">
        <f t="shared" si="8"/>
        <v>Sun</v>
      </c>
      <c r="I516" s="8" t="s">
        <v>218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224</v>
      </c>
      <c r="F517" s="23">
        <v>75</v>
      </c>
      <c r="G517" s="23"/>
      <c r="H517" s="1" t="str">
        <f t="shared" si="8"/>
        <v>Mon</v>
      </c>
      <c r="I517" s="8" t="s">
        <v>219</v>
      </c>
      <c r="J517" s="1">
        <v>60</v>
      </c>
      <c r="K517" s="8" t="s">
        <v>173</v>
      </c>
      <c r="L517" s="1">
        <v>90</v>
      </c>
      <c r="M517" s="8" t="s">
        <v>293</v>
      </c>
      <c r="N517" s="1">
        <v>8</v>
      </c>
      <c r="O517" s="8" t="s">
        <v>291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243</v>
      </c>
      <c r="F518" s="23">
        <v>9</v>
      </c>
      <c r="G518" s="23"/>
      <c r="H518" s="1" t="str">
        <f t="shared" si="8"/>
        <v>Tue</v>
      </c>
      <c r="I518" s="8" t="s">
        <v>219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3">
        <v>41</v>
      </c>
      <c r="G519" s="23"/>
      <c r="H519" s="1" t="str">
        <f t="shared" ref="H519:H596" si="9">TEXT(B519,"ddd")</f>
        <v>Tue</v>
      </c>
      <c r="I519" s="8" t="s">
        <v>219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3">
        <v>91</v>
      </c>
      <c r="G520" s="23"/>
      <c r="H520" s="1" t="str">
        <f t="shared" si="9"/>
        <v>Wed</v>
      </c>
      <c r="I520" s="8" t="s">
        <v>219</v>
      </c>
      <c r="J520" s="1">
        <v>60</v>
      </c>
      <c r="K520" s="8" t="s">
        <v>172</v>
      </c>
      <c r="L520" s="1">
        <v>80</v>
      </c>
      <c r="M520" s="8" t="s">
        <v>292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3">
        <v>8</v>
      </c>
      <c r="G521" s="23"/>
      <c r="H521" s="1" t="str">
        <f t="shared" si="9"/>
        <v>Thu</v>
      </c>
      <c r="I521" s="8" t="s">
        <v>219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244</v>
      </c>
      <c r="F522" s="23">
        <v>0</v>
      </c>
      <c r="G522" s="23"/>
      <c r="H522" s="1" t="str">
        <f t="shared" si="9"/>
        <v>Thu</v>
      </c>
      <c r="I522" s="8" t="s">
        <v>219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3">
        <v>74</v>
      </c>
      <c r="G523" s="23"/>
      <c r="H523" s="1" t="str">
        <f t="shared" si="9"/>
        <v>Fri</v>
      </c>
      <c r="I523" s="8" t="s">
        <v>219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3">
        <v>51</v>
      </c>
      <c r="G524" s="23"/>
      <c r="H524" s="1" t="str">
        <f t="shared" si="9"/>
        <v>Sun</v>
      </c>
      <c r="I524" s="8" t="s">
        <v>219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3">
        <v>16</v>
      </c>
      <c r="G525" s="23"/>
      <c r="H525" s="1" t="str">
        <f t="shared" si="9"/>
        <v>Mon</v>
      </c>
      <c r="I525" s="8" t="s">
        <v>220</v>
      </c>
      <c r="J525" s="1">
        <v>60</v>
      </c>
      <c r="K525" s="8" t="s">
        <v>289</v>
      </c>
      <c r="L525" s="1">
        <v>80</v>
      </c>
      <c r="M525" s="8" t="s">
        <v>290</v>
      </c>
      <c r="N525" s="1">
        <v>6</v>
      </c>
      <c r="O525" s="8" t="s">
        <v>291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3">
        <v>64</v>
      </c>
      <c r="G526" s="23">
        <v>141</v>
      </c>
      <c r="H526" s="1" t="str">
        <f t="shared" si="9"/>
        <v>Tue</v>
      </c>
      <c r="I526" s="8" t="s">
        <v>220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3">
        <v>91</v>
      </c>
      <c r="G527" s="23">
        <v>135</v>
      </c>
      <c r="H527" s="1" t="str">
        <f t="shared" si="9"/>
        <v>Wed</v>
      </c>
      <c r="I527" s="8" t="s">
        <v>220</v>
      </c>
      <c r="J527" s="1">
        <v>60</v>
      </c>
      <c r="K527" s="8" t="s">
        <v>289</v>
      </c>
      <c r="L527" s="1">
        <v>80</v>
      </c>
      <c r="M527" s="8" t="s">
        <v>290</v>
      </c>
      <c r="N527" s="1">
        <v>8</v>
      </c>
      <c r="O527" s="8" t="s">
        <v>291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247</v>
      </c>
      <c r="F528" s="23">
        <v>135</v>
      </c>
      <c r="G528" s="23">
        <v>120</v>
      </c>
      <c r="H528" s="1" t="str">
        <f t="shared" si="9"/>
        <v>Thu</v>
      </c>
      <c r="I528" s="8" t="s">
        <v>220</v>
      </c>
      <c r="J528" s="1">
        <v>50</v>
      </c>
    </row>
    <row r="529" spans="2:15" x14ac:dyDescent="0.2">
      <c r="B529" s="4">
        <v>42545</v>
      </c>
      <c r="C529" s="8" t="s">
        <v>248</v>
      </c>
      <c r="D529" s="1">
        <v>4</v>
      </c>
      <c r="E529" s="9" t="s">
        <v>77</v>
      </c>
      <c r="F529" s="23">
        <v>84</v>
      </c>
      <c r="G529" s="23">
        <v>130</v>
      </c>
      <c r="H529" s="1" t="str">
        <f t="shared" si="9"/>
        <v>Fri</v>
      </c>
      <c r="I529" s="8" t="s">
        <v>220</v>
      </c>
      <c r="J529" s="1">
        <v>60</v>
      </c>
      <c r="K529" s="8" t="s">
        <v>289</v>
      </c>
      <c r="L529" s="1">
        <v>80</v>
      </c>
      <c r="M529" s="8" t="s">
        <v>290</v>
      </c>
      <c r="N529" s="1">
        <v>6</v>
      </c>
      <c r="O529" s="8" t="s">
        <v>291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249</v>
      </c>
      <c r="F530" s="23">
        <v>1246</v>
      </c>
      <c r="G530" s="23">
        <v>161</v>
      </c>
      <c r="H530" s="1" t="str">
        <f t="shared" si="9"/>
        <v>Sat</v>
      </c>
      <c r="I530" s="8" t="s">
        <v>220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3">
        <v>305</v>
      </c>
      <c r="G531" s="23">
        <v>136</v>
      </c>
      <c r="H531" s="1" t="str">
        <f t="shared" si="9"/>
        <v>Mon</v>
      </c>
      <c r="I531" s="8" t="s">
        <v>217</v>
      </c>
      <c r="J531" s="1">
        <v>60</v>
      </c>
      <c r="K531" s="8" t="s">
        <v>171</v>
      </c>
      <c r="L531" s="1">
        <v>85</v>
      </c>
      <c r="M531" s="8" t="s">
        <v>294</v>
      </c>
      <c r="N531" s="1">
        <v>3</v>
      </c>
      <c r="O531" s="8" t="s">
        <v>288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3">
        <v>141</v>
      </c>
      <c r="G532" s="23">
        <v>116</v>
      </c>
      <c r="H532" s="1" t="str">
        <f t="shared" si="9"/>
        <v>Tue</v>
      </c>
      <c r="I532" s="8" t="s">
        <v>217</v>
      </c>
      <c r="J532" s="1">
        <v>60</v>
      </c>
    </row>
    <row r="533" spans="2:15" x14ac:dyDescent="0.2">
      <c r="B533" s="4">
        <v>42550</v>
      </c>
      <c r="C533" s="8" t="s">
        <v>248</v>
      </c>
      <c r="D533" s="1">
        <v>8</v>
      </c>
      <c r="E533" s="9" t="s">
        <v>8</v>
      </c>
      <c r="F533" s="23">
        <v>141</v>
      </c>
      <c r="G533" s="23">
        <v>121</v>
      </c>
      <c r="H533" s="1" t="str">
        <f t="shared" si="9"/>
        <v>Wed</v>
      </c>
      <c r="I533" s="8" t="s">
        <v>217</v>
      </c>
      <c r="J533" s="1">
        <v>60</v>
      </c>
      <c r="K533" s="8" t="s">
        <v>172</v>
      </c>
      <c r="L533" s="1">
        <v>80</v>
      </c>
      <c r="M533" s="8" t="s">
        <v>292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3">
        <v>129</v>
      </c>
      <c r="G534" s="23">
        <v>110</v>
      </c>
      <c r="H534" s="1" t="str">
        <f t="shared" si="9"/>
        <v>Thu</v>
      </c>
      <c r="I534" s="8" t="s">
        <v>217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3">
        <v>123</v>
      </c>
      <c r="G535" s="23">
        <v>108</v>
      </c>
      <c r="H535" s="1" t="str">
        <f t="shared" si="9"/>
        <v>Fri</v>
      </c>
      <c r="I535" s="8" t="s">
        <v>217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3">
        <v>288</v>
      </c>
      <c r="G536" s="23">
        <v>120</v>
      </c>
      <c r="H536" s="1" t="str">
        <f t="shared" si="9"/>
        <v>Sat</v>
      </c>
      <c r="I536" s="8" t="s">
        <v>217</v>
      </c>
      <c r="J536" s="1">
        <v>60</v>
      </c>
    </row>
    <row r="537" spans="2:15" x14ac:dyDescent="0.2">
      <c r="B537" s="4">
        <v>42555</v>
      </c>
      <c r="C537" s="8" t="s">
        <v>248</v>
      </c>
      <c r="D537" s="1">
        <v>7</v>
      </c>
      <c r="E537" s="9" t="s">
        <v>89</v>
      </c>
      <c r="F537" s="23">
        <v>315</v>
      </c>
      <c r="G537" s="23">
        <v>117</v>
      </c>
      <c r="H537" s="1" t="str">
        <f t="shared" si="9"/>
        <v>Mon</v>
      </c>
      <c r="I537" s="8" t="s">
        <v>218</v>
      </c>
      <c r="J537" s="1">
        <v>60</v>
      </c>
      <c r="K537" s="8" t="s">
        <v>173</v>
      </c>
      <c r="L537" s="1">
        <v>90</v>
      </c>
      <c r="M537" s="8" t="s">
        <v>293</v>
      </c>
      <c r="N537" s="1">
        <v>8</v>
      </c>
      <c r="O537" s="8" t="s">
        <v>291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3">
        <v>92</v>
      </c>
      <c r="G538" s="23">
        <v>129</v>
      </c>
      <c r="H538" s="1" t="str">
        <f t="shared" si="9"/>
        <v>Tue</v>
      </c>
      <c r="I538" s="8" t="s">
        <v>218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3">
        <v>104</v>
      </c>
      <c r="G539" s="23">
        <v>118</v>
      </c>
      <c r="H539" s="1" t="str">
        <f t="shared" si="9"/>
        <v>Wed</v>
      </c>
      <c r="I539" s="8" t="s">
        <v>218</v>
      </c>
      <c r="J539" s="1">
        <v>60</v>
      </c>
      <c r="K539" s="8" t="s">
        <v>172</v>
      </c>
      <c r="L539" s="1">
        <v>80</v>
      </c>
      <c r="M539" s="8" t="s">
        <v>292</v>
      </c>
      <c r="N539" s="1">
        <v>1</v>
      </c>
    </row>
    <row r="540" spans="2:15" x14ac:dyDescent="0.2">
      <c r="B540" s="4">
        <v>42558</v>
      </c>
      <c r="C540" s="8" t="s">
        <v>250</v>
      </c>
      <c r="D540" s="1">
        <v>3.7</v>
      </c>
      <c r="E540" s="9" t="s">
        <v>19</v>
      </c>
      <c r="F540" s="23">
        <v>101</v>
      </c>
      <c r="G540" s="23">
        <v>139</v>
      </c>
      <c r="H540" s="1" t="str">
        <f t="shared" si="9"/>
        <v>Thu</v>
      </c>
      <c r="I540" s="8" t="s">
        <v>218</v>
      </c>
      <c r="J540" s="1">
        <v>50</v>
      </c>
    </row>
    <row r="541" spans="2:15" x14ac:dyDescent="0.2">
      <c r="B541" s="4">
        <v>42559</v>
      </c>
      <c r="C541" s="8" t="s">
        <v>248</v>
      </c>
      <c r="D541" s="1">
        <v>5</v>
      </c>
      <c r="E541" s="9" t="s">
        <v>25</v>
      </c>
      <c r="F541" s="23">
        <v>128</v>
      </c>
      <c r="G541" s="23">
        <v>113</v>
      </c>
      <c r="H541" s="1" t="str">
        <f t="shared" si="9"/>
        <v>Fri</v>
      </c>
      <c r="I541" s="8" t="s">
        <v>218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241</v>
      </c>
      <c r="F542" s="23">
        <v>411</v>
      </c>
      <c r="G542" s="23">
        <v>121</v>
      </c>
      <c r="H542" s="1" t="str">
        <f t="shared" si="9"/>
        <v>Sat</v>
      </c>
      <c r="I542" s="8" t="s">
        <v>218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3">
        <v>132</v>
      </c>
      <c r="G543" s="23">
        <v>131</v>
      </c>
      <c r="H543" s="1" t="str">
        <f t="shared" si="9"/>
        <v>Mon</v>
      </c>
      <c r="I543" s="8" t="s">
        <v>219</v>
      </c>
      <c r="J543" s="1">
        <v>60</v>
      </c>
      <c r="K543" s="8" t="s">
        <v>171</v>
      </c>
      <c r="L543" s="1">
        <v>85</v>
      </c>
      <c r="M543" s="8" t="s">
        <v>294</v>
      </c>
      <c r="N543" s="1">
        <v>3</v>
      </c>
      <c r="O543" s="8" t="s">
        <v>288</v>
      </c>
    </row>
    <row r="544" spans="2:15" x14ac:dyDescent="0.2">
      <c r="B544" s="4">
        <v>42563</v>
      </c>
      <c r="C544" s="8" t="s">
        <v>250</v>
      </c>
      <c r="D544" s="1">
        <v>6</v>
      </c>
      <c r="E544" s="9" t="s">
        <v>50</v>
      </c>
      <c r="F544" s="23">
        <v>148</v>
      </c>
      <c r="G544" s="23">
        <v>133</v>
      </c>
      <c r="H544" s="1" t="str">
        <f t="shared" si="9"/>
        <v>Tue</v>
      </c>
      <c r="I544" s="8" t="s">
        <v>219</v>
      </c>
      <c r="J544" s="1">
        <v>60</v>
      </c>
    </row>
    <row r="545" spans="2:10" x14ac:dyDescent="0.2">
      <c r="B545" s="4">
        <v>42564</v>
      </c>
      <c r="C545" s="8" t="s">
        <v>248</v>
      </c>
      <c r="D545" s="1">
        <v>6</v>
      </c>
      <c r="E545" s="9" t="s">
        <v>79</v>
      </c>
      <c r="F545" s="23">
        <v>98</v>
      </c>
      <c r="G545" s="23">
        <v>134</v>
      </c>
      <c r="H545" s="1" t="str">
        <f t="shared" si="9"/>
        <v>Wed</v>
      </c>
      <c r="I545" s="8" t="s">
        <v>219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3">
        <v>158</v>
      </c>
      <c r="G546" s="23">
        <v>123</v>
      </c>
      <c r="H546" s="1" t="str">
        <f t="shared" si="9"/>
        <v>Fri</v>
      </c>
      <c r="I546" s="8" t="s">
        <v>219</v>
      </c>
      <c r="J546" s="1">
        <v>60</v>
      </c>
    </row>
    <row r="547" spans="2:10" x14ac:dyDescent="0.2">
      <c r="B547" s="4">
        <v>42569</v>
      </c>
      <c r="C547" s="8" t="s">
        <v>248</v>
      </c>
      <c r="D547" s="1">
        <v>5</v>
      </c>
      <c r="E547" s="9" t="s">
        <v>247</v>
      </c>
      <c r="F547" s="23">
        <v>154</v>
      </c>
      <c r="G547" s="23">
        <v>127</v>
      </c>
      <c r="H547" s="1" t="str">
        <f t="shared" si="9"/>
        <v>Mon</v>
      </c>
      <c r="I547" s="8" t="s">
        <v>220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3">
        <v>48</v>
      </c>
      <c r="G548" s="23">
        <v>143</v>
      </c>
      <c r="H548" s="1" t="str">
        <f t="shared" si="9"/>
        <v>Tue</v>
      </c>
      <c r="I548" s="8" t="s">
        <v>220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3">
        <v>136</v>
      </c>
      <c r="G549" s="23">
        <v>156</v>
      </c>
      <c r="H549" s="1" t="str">
        <f t="shared" si="9"/>
        <v>Wed</v>
      </c>
      <c r="I549" s="8" t="s">
        <v>220</v>
      </c>
      <c r="J549" s="1">
        <v>60</v>
      </c>
    </row>
    <row r="550" spans="2:10" x14ac:dyDescent="0.2">
      <c r="B550" s="4">
        <v>42572</v>
      </c>
      <c r="C550" s="8" t="s">
        <v>253</v>
      </c>
      <c r="D550" s="1">
        <v>3</v>
      </c>
      <c r="E550" s="9" t="s">
        <v>29</v>
      </c>
      <c r="F550" s="23">
        <v>46</v>
      </c>
      <c r="G550" s="23">
        <v>158</v>
      </c>
      <c r="H550" s="1" t="str">
        <f t="shared" si="9"/>
        <v>Thu</v>
      </c>
      <c r="I550" s="8" t="s">
        <v>220</v>
      </c>
      <c r="J550" s="1">
        <v>60</v>
      </c>
    </row>
    <row r="551" spans="2:10" x14ac:dyDescent="0.2">
      <c r="B551" s="4">
        <v>42573</v>
      </c>
      <c r="C551" s="8" t="s">
        <v>248</v>
      </c>
      <c r="D551" s="1">
        <v>5</v>
      </c>
      <c r="E551" s="9" t="s">
        <v>79</v>
      </c>
      <c r="F551" s="23">
        <v>283</v>
      </c>
      <c r="G551" s="23">
        <v>130</v>
      </c>
      <c r="H551" s="1" t="str">
        <f t="shared" si="9"/>
        <v>Fri</v>
      </c>
      <c r="I551" s="8" t="s">
        <v>220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3">
        <v>143</v>
      </c>
      <c r="G552" s="23">
        <v>126</v>
      </c>
      <c r="H552" s="1" t="str">
        <f t="shared" si="9"/>
        <v>Mon</v>
      </c>
      <c r="I552" s="8" t="s">
        <v>217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3">
        <v>249</v>
      </c>
      <c r="G553" s="23">
        <v>147</v>
      </c>
      <c r="H553" s="1" t="str">
        <f t="shared" si="9"/>
        <v>Tue</v>
      </c>
      <c r="I553" s="8" t="s">
        <v>217</v>
      </c>
      <c r="J553" s="1">
        <v>60</v>
      </c>
    </row>
    <row r="554" spans="2:10" x14ac:dyDescent="0.2">
      <c r="B554" s="4">
        <v>42578</v>
      </c>
      <c r="C554" s="8" t="s">
        <v>248</v>
      </c>
      <c r="D554" s="1">
        <v>8</v>
      </c>
      <c r="E554" s="9" t="s">
        <v>53</v>
      </c>
      <c r="F554" s="23">
        <v>141</v>
      </c>
      <c r="G554" s="23">
        <v>109</v>
      </c>
      <c r="H554" s="1" t="str">
        <f t="shared" si="9"/>
        <v>Wed</v>
      </c>
      <c r="I554" s="8" t="s">
        <v>217</v>
      </c>
      <c r="J554" s="1">
        <v>60</v>
      </c>
    </row>
    <row r="555" spans="2:10" x14ac:dyDescent="0.2">
      <c r="B555" s="4">
        <v>42579</v>
      </c>
      <c r="C555" s="8" t="s">
        <v>253</v>
      </c>
      <c r="D555" s="1">
        <v>4</v>
      </c>
      <c r="E555" s="9" t="s">
        <v>151</v>
      </c>
      <c r="F555" s="23">
        <v>113</v>
      </c>
      <c r="G555" s="23">
        <v>151</v>
      </c>
      <c r="H555" s="1" t="str">
        <f t="shared" si="9"/>
        <v>Thu</v>
      </c>
      <c r="I555" s="8" t="s">
        <v>217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3">
        <v>217</v>
      </c>
      <c r="G556" s="23">
        <v>124</v>
      </c>
      <c r="H556" s="1" t="str">
        <f t="shared" si="9"/>
        <v>Fri</v>
      </c>
      <c r="I556" s="8" t="s">
        <v>217</v>
      </c>
      <c r="J556" s="1">
        <v>60</v>
      </c>
    </row>
    <row r="557" spans="2:10" x14ac:dyDescent="0.2">
      <c r="B557" s="4">
        <v>42581</v>
      </c>
      <c r="C557" s="8" t="s">
        <v>253</v>
      </c>
      <c r="D557" s="1">
        <v>13</v>
      </c>
      <c r="E557" s="9" t="s">
        <v>52</v>
      </c>
      <c r="F557" s="23">
        <v>306</v>
      </c>
      <c r="G557" s="23">
        <v>116</v>
      </c>
      <c r="H557" s="1" t="str">
        <f t="shared" si="9"/>
        <v>Sat</v>
      </c>
      <c r="I557" s="8" t="s">
        <v>217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3">
        <v>139</v>
      </c>
      <c r="G558" s="23">
        <v>118</v>
      </c>
      <c r="H558" s="1" t="str">
        <f t="shared" si="9"/>
        <v>Mon</v>
      </c>
      <c r="I558" s="8" t="s">
        <v>218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3">
        <v>140</v>
      </c>
      <c r="G559" s="23">
        <v>126</v>
      </c>
      <c r="H559" s="1" t="str">
        <f t="shared" si="9"/>
        <v>Tue</v>
      </c>
      <c r="I559" s="8" t="s">
        <v>218</v>
      </c>
      <c r="J559" s="1">
        <v>60</v>
      </c>
    </row>
    <row r="560" spans="2:10" x14ac:dyDescent="0.2">
      <c r="B560" s="4">
        <v>42585</v>
      </c>
      <c r="C560" s="8" t="s">
        <v>248</v>
      </c>
      <c r="D560" s="1">
        <v>8</v>
      </c>
      <c r="E560" s="9" t="s">
        <v>64</v>
      </c>
      <c r="F560" s="23">
        <v>111</v>
      </c>
      <c r="G560" s="23">
        <v>115</v>
      </c>
      <c r="H560" s="1" t="str">
        <f t="shared" si="9"/>
        <v>Wed</v>
      </c>
      <c r="I560" s="8" t="s">
        <v>218</v>
      </c>
      <c r="J560" s="1">
        <v>60</v>
      </c>
    </row>
    <row r="561" spans="2:15" x14ac:dyDescent="0.2">
      <c r="B561" s="4">
        <v>42586</v>
      </c>
      <c r="C561" s="8" t="s">
        <v>253</v>
      </c>
      <c r="D561" s="1">
        <v>4</v>
      </c>
      <c r="E561" s="9" t="s">
        <v>61</v>
      </c>
      <c r="F561" s="23">
        <v>98</v>
      </c>
      <c r="G561" s="23">
        <v>149</v>
      </c>
      <c r="H561" s="1" t="str">
        <f t="shared" si="9"/>
        <v>Thu</v>
      </c>
      <c r="I561" s="8" t="s">
        <v>218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3">
        <v>75</v>
      </c>
      <c r="G562" s="23">
        <v>118</v>
      </c>
      <c r="H562" s="1" t="str">
        <f t="shared" si="9"/>
        <v>Fri</v>
      </c>
      <c r="I562" s="8" t="s">
        <v>218</v>
      </c>
      <c r="J562" s="1">
        <v>60</v>
      </c>
    </row>
    <row r="563" spans="2:15" x14ac:dyDescent="0.2">
      <c r="B563" s="4">
        <v>42588</v>
      </c>
      <c r="C563" s="8" t="s">
        <v>248</v>
      </c>
      <c r="D563" s="1">
        <v>13</v>
      </c>
      <c r="E563" s="9" t="s">
        <v>254</v>
      </c>
      <c r="F563" s="23">
        <v>356</v>
      </c>
      <c r="G563" s="23">
        <v>119</v>
      </c>
      <c r="H563" s="1" t="str">
        <f t="shared" si="9"/>
        <v>Sat</v>
      </c>
      <c r="I563" s="8" t="s">
        <v>218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3">
        <v>131</v>
      </c>
      <c r="G564" s="23">
        <v>155</v>
      </c>
      <c r="H564" s="1" t="str">
        <f t="shared" si="9"/>
        <v>Mon</v>
      </c>
      <c r="I564" s="8" t="s">
        <v>220</v>
      </c>
      <c r="J564" s="1">
        <v>60</v>
      </c>
      <c r="K564" s="8" t="s">
        <v>173</v>
      </c>
      <c r="L564" s="1">
        <v>90</v>
      </c>
      <c r="M564" s="8" t="s">
        <v>293</v>
      </c>
      <c r="N564" s="1">
        <v>8</v>
      </c>
      <c r="O564" s="8" t="s">
        <v>291</v>
      </c>
    </row>
    <row r="565" spans="2:15" x14ac:dyDescent="0.2">
      <c r="B565" s="4">
        <v>42599</v>
      </c>
      <c r="C565" s="8" t="s">
        <v>248</v>
      </c>
      <c r="D565" s="1">
        <v>8</v>
      </c>
      <c r="E565" s="9" t="s">
        <v>47</v>
      </c>
      <c r="F565" s="23">
        <v>99</v>
      </c>
      <c r="G565" s="23">
        <v>154</v>
      </c>
      <c r="H565" s="1" t="str">
        <f t="shared" si="9"/>
        <v>Wed</v>
      </c>
      <c r="I565" s="8" t="s">
        <v>220</v>
      </c>
      <c r="J565" s="1">
        <v>60</v>
      </c>
      <c r="K565" s="8" t="s">
        <v>222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253</v>
      </c>
      <c r="D566" s="1">
        <v>10</v>
      </c>
      <c r="E566" s="9" t="s">
        <v>255</v>
      </c>
      <c r="F566" s="23">
        <v>421</v>
      </c>
      <c r="G566" s="23">
        <v>130</v>
      </c>
      <c r="H566" s="1" t="str">
        <f t="shared" si="9"/>
        <v>Fri</v>
      </c>
      <c r="I566" s="8" t="s">
        <v>220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3">
        <v>141</v>
      </c>
      <c r="G567" s="23">
        <v>120</v>
      </c>
      <c r="H567" s="1" t="str">
        <f t="shared" si="9"/>
        <v>Sat</v>
      </c>
      <c r="I567" s="8" t="s">
        <v>220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3">
        <v>221</v>
      </c>
      <c r="G568" s="23">
        <v>159</v>
      </c>
      <c r="H568" s="1" t="str">
        <f t="shared" si="9"/>
        <v>Mon</v>
      </c>
      <c r="I568" s="8" t="s">
        <v>217</v>
      </c>
      <c r="J568" s="1">
        <v>60</v>
      </c>
      <c r="K568" s="8" t="s">
        <v>173</v>
      </c>
      <c r="L568" s="1">
        <v>90</v>
      </c>
      <c r="M568" s="8" t="s">
        <v>293</v>
      </c>
      <c r="N568" s="1">
        <v>6</v>
      </c>
      <c r="O568" s="8" t="s">
        <v>291</v>
      </c>
    </row>
    <row r="569" spans="2:15" x14ac:dyDescent="0.2">
      <c r="B569" s="4">
        <v>42606</v>
      </c>
      <c r="C569" s="8" t="s">
        <v>253</v>
      </c>
      <c r="D569" s="1">
        <v>6</v>
      </c>
      <c r="E569" s="9" t="s">
        <v>44</v>
      </c>
      <c r="F569" s="23">
        <v>82</v>
      </c>
      <c r="G569" s="23">
        <v>151</v>
      </c>
      <c r="H569" s="1" t="str">
        <f t="shared" si="9"/>
        <v>Wed</v>
      </c>
      <c r="I569" s="8" t="s">
        <v>217</v>
      </c>
      <c r="J569" s="1">
        <v>60</v>
      </c>
      <c r="K569" s="8" t="s">
        <v>172</v>
      </c>
      <c r="L569" s="1">
        <v>80</v>
      </c>
      <c r="M569" s="8" t="s">
        <v>295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3">
        <v>249</v>
      </c>
      <c r="G570" s="23">
        <v>126</v>
      </c>
      <c r="H570" s="1" t="str">
        <f t="shared" si="9"/>
        <v>Fri</v>
      </c>
      <c r="I570" s="8" t="s">
        <v>217</v>
      </c>
      <c r="J570" s="1">
        <v>60</v>
      </c>
    </row>
    <row r="571" spans="2:15" x14ac:dyDescent="0.2">
      <c r="B571" s="4">
        <v>42609</v>
      </c>
      <c r="C571" s="8" t="s">
        <v>248</v>
      </c>
      <c r="D571" s="1">
        <v>14</v>
      </c>
      <c r="E571" s="9" t="s">
        <v>26</v>
      </c>
      <c r="F571" s="23">
        <v>309</v>
      </c>
      <c r="G571" s="23">
        <v>138</v>
      </c>
      <c r="H571" s="1" t="str">
        <f t="shared" si="9"/>
        <v>Sat</v>
      </c>
      <c r="I571" s="8" t="s">
        <v>217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3">
        <v>128</v>
      </c>
      <c r="G572" s="23">
        <v>130</v>
      </c>
      <c r="H572" s="1" t="str">
        <f t="shared" si="9"/>
        <v>Mon</v>
      </c>
      <c r="I572" s="8" t="s">
        <v>220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3">
        <v>68</v>
      </c>
      <c r="G573" s="23">
        <v>131</v>
      </c>
      <c r="H573" s="1" t="str">
        <f t="shared" si="9"/>
        <v>Wed</v>
      </c>
      <c r="I573" s="8" t="s">
        <v>220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3">
        <v>166</v>
      </c>
      <c r="G574" s="23">
        <v>144</v>
      </c>
      <c r="H574" s="1" t="str">
        <f t="shared" si="9"/>
        <v>Fri</v>
      </c>
      <c r="I574" s="8" t="s">
        <v>220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256</v>
      </c>
      <c r="F575" s="23">
        <v>920</v>
      </c>
      <c r="G575" s="23">
        <v>158</v>
      </c>
      <c r="H575" s="1" t="str">
        <f t="shared" si="9"/>
        <v>Sat</v>
      </c>
      <c r="I575" s="8" t="s">
        <v>220</v>
      </c>
      <c r="J575" s="1">
        <v>70</v>
      </c>
    </row>
    <row r="576" spans="2:15" x14ac:dyDescent="0.2">
      <c r="B576" s="4">
        <v>42618</v>
      </c>
      <c r="C576" s="8" t="s">
        <v>253</v>
      </c>
      <c r="D576" s="1">
        <v>6</v>
      </c>
      <c r="E576" s="9" t="s">
        <v>257</v>
      </c>
      <c r="F576" s="23">
        <v>167</v>
      </c>
      <c r="G576" s="23">
        <v>173</v>
      </c>
      <c r="H576" s="1" t="str">
        <f t="shared" si="9"/>
        <v>Mon</v>
      </c>
      <c r="I576" s="8" t="s">
        <v>217</v>
      </c>
      <c r="J576" s="1">
        <v>85</v>
      </c>
      <c r="K576" s="8" t="s">
        <v>274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3">
        <v>27</v>
      </c>
      <c r="G577" s="23">
        <v>136</v>
      </c>
      <c r="H577" s="1" t="str">
        <f t="shared" si="9"/>
        <v>Wed</v>
      </c>
      <c r="I577" s="8" t="s">
        <v>217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3">
        <v>81</v>
      </c>
      <c r="G578" s="23">
        <v>154</v>
      </c>
      <c r="H578" s="1" t="str">
        <f t="shared" si="9"/>
        <v>Fri</v>
      </c>
      <c r="I578" s="8" t="s">
        <v>217</v>
      </c>
      <c r="J578" s="1">
        <v>60</v>
      </c>
    </row>
    <row r="579" spans="2:14" x14ac:dyDescent="0.2">
      <c r="B579" s="4">
        <v>42623</v>
      </c>
      <c r="C579" s="8" t="s">
        <v>248</v>
      </c>
      <c r="D579" s="1">
        <v>14</v>
      </c>
      <c r="E579" s="9" t="s">
        <v>26</v>
      </c>
      <c r="F579" s="23">
        <v>814</v>
      </c>
      <c r="G579" s="23">
        <v>117</v>
      </c>
      <c r="H579" s="1" t="str">
        <f t="shared" si="9"/>
        <v>Sat</v>
      </c>
      <c r="I579" s="8" t="s">
        <v>217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3">
        <v>130</v>
      </c>
      <c r="G580" s="23">
        <v>159</v>
      </c>
      <c r="H580" s="1" t="str">
        <f t="shared" si="9"/>
        <v>Mon</v>
      </c>
      <c r="I580" s="8" t="s">
        <v>220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3">
        <v>173</v>
      </c>
      <c r="G581" s="23">
        <v>145</v>
      </c>
      <c r="H581" s="1" t="str">
        <f t="shared" si="9"/>
        <v>Wed</v>
      </c>
      <c r="I581" s="8" t="s">
        <v>220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3">
        <v>101</v>
      </c>
      <c r="G582" s="23">
        <v>152</v>
      </c>
      <c r="H582" s="1" t="str">
        <f t="shared" si="9"/>
        <v>Fri</v>
      </c>
      <c r="I582" s="8" t="s">
        <v>220</v>
      </c>
      <c r="J582" s="1">
        <v>60</v>
      </c>
    </row>
    <row r="583" spans="2:14" x14ac:dyDescent="0.2">
      <c r="B583" s="4">
        <v>42630</v>
      </c>
      <c r="C583" s="8" t="s">
        <v>248</v>
      </c>
      <c r="D583" s="1">
        <v>8</v>
      </c>
      <c r="E583" s="9" t="s">
        <v>71</v>
      </c>
      <c r="F583" s="23">
        <v>153</v>
      </c>
      <c r="G583" s="23">
        <v>113</v>
      </c>
      <c r="H583" s="1" t="str">
        <f t="shared" si="9"/>
        <v>Sat</v>
      </c>
      <c r="I583" s="8" t="s">
        <v>220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2">
        <v>142</v>
      </c>
      <c r="G584" s="22">
        <v>149</v>
      </c>
      <c r="H584" s="1" t="str">
        <f t="shared" si="9"/>
        <v>Mon</v>
      </c>
      <c r="I584" s="8" t="s">
        <v>217</v>
      </c>
      <c r="J584" s="1">
        <v>60</v>
      </c>
      <c r="K584" s="8" t="s">
        <v>222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2">
        <v>95</v>
      </c>
      <c r="G585" s="22">
        <v>162</v>
      </c>
      <c r="H585" s="1" t="str">
        <f t="shared" si="9"/>
        <v>Wed</v>
      </c>
      <c r="I585" s="8" t="s">
        <v>217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2">
        <v>104</v>
      </c>
      <c r="G586" s="22">
        <v>143</v>
      </c>
      <c r="H586" s="1" t="str">
        <f t="shared" si="9"/>
        <v>Fri</v>
      </c>
      <c r="I586" s="8" t="s">
        <v>217</v>
      </c>
      <c r="J586" s="1">
        <v>60</v>
      </c>
    </row>
    <row r="587" spans="2:14" x14ac:dyDescent="0.2">
      <c r="B587" s="4">
        <v>42637</v>
      </c>
      <c r="C587" s="8" t="s">
        <v>248</v>
      </c>
      <c r="D587" s="1">
        <v>15</v>
      </c>
      <c r="E587" s="9" t="s">
        <v>11</v>
      </c>
      <c r="F587" s="22">
        <v>329</v>
      </c>
      <c r="G587" s="22">
        <v>124</v>
      </c>
      <c r="H587" s="1" t="str">
        <f t="shared" si="9"/>
        <v>Sat</v>
      </c>
      <c r="I587" s="8" t="s">
        <v>217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258</v>
      </c>
      <c r="F588" s="22">
        <v>130</v>
      </c>
      <c r="G588" s="22">
        <v>118</v>
      </c>
      <c r="H588" s="1" t="str">
        <f t="shared" si="9"/>
        <v>Mon</v>
      </c>
      <c r="I588" s="8" t="s">
        <v>220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2">
        <v>246</v>
      </c>
      <c r="G589" s="22">
        <v>126</v>
      </c>
      <c r="H589" s="1" t="str">
        <f t="shared" si="9"/>
        <v>Wed</v>
      </c>
      <c r="I589" s="8" t="s">
        <v>220</v>
      </c>
      <c r="J589" s="1">
        <v>60</v>
      </c>
    </row>
    <row r="590" spans="2:14" x14ac:dyDescent="0.2">
      <c r="B590" s="4">
        <v>42644</v>
      </c>
      <c r="C590" s="8" t="s">
        <v>248</v>
      </c>
      <c r="D590" s="1">
        <v>10</v>
      </c>
      <c r="E590" s="9" t="s">
        <v>20</v>
      </c>
      <c r="F590" s="22">
        <v>138</v>
      </c>
      <c r="G590" s="22">
        <v>116</v>
      </c>
      <c r="H590" s="1" t="str">
        <f t="shared" si="9"/>
        <v>Sat</v>
      </c>
      <c r="I590" s="8" t="s">
        <v>220</v>
      </c>
      <c r="J590" s="1">
        <v>60</v>
      </c>
    </row>
    <row r="591" spans="2:14" x14ac:dyDescent="0.2">
      <c r="B591" s="4">
        <v>42648</v>
      </c>
      <c r="C591" s="8" t="s">
        <v>253</v>
      </c>
      <c r="D591" s="1">
        <v>6</v>
      </c>
      <c r="E591" s="9" t="s">
        <v>108</v>
      </c>
      <c r="F591" s="22">
        <v>256</v>
      </c>
      <c r="G591" s="22">
        <v>123</v>
      </c>
      <c r="H591" s="1" t="str">
        <f t="shared" si="9"/>
        <v>Wed</v>
      </c>
      <c r="I591" s="8" t="s">
        <v>217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2">
        <v>92</v>
      </c>
      <c r="G592" s="22">
        <v>125</v>
      </c>
      <c r="H592" s="1" t="str">
        <f t="shared" si="9"/>
        <v>Fri</v>
      </c>
      <c r="I592" s="8" t="s">
        <v>217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259</v>
      </c>
      <c r="F593" s="22">
        <v>49</v>
      </c>
      <c r="G593" s="22">
        <v>113</v>
      </c>
      <c r="H593" s="1" t="str">
        <f t="shared" si="9"/>
        <v>Mon</v>
      </c>
      <c r="I593" s="8" t="s">
        <v>217</v>
      </c>
      <c r="J593" s="1">
        <v>60</v>
      </c>
    </row>
    <row r="594" spans="2:10" x14ac:dyDescent="0.2">
      <c r="B594" s="4">
        <v>42662</v>
      </c>
      <c r="C594" s="8" t="s">
        <v>248</v>
      </c>
      <c r="D594" s="1">
        <v>6</v>
      </c>
      <c r="E594" s="9" t="s">
        <v>247</v>
      </c>
      <c r="F594" s="22">
        <v>250</v>
      </c>
      <c r="G594" s="22">
        <v>136</v>
      </c>
      <c r="H594" s="1" t="str">
        <f t="shared" si="9"/>
        <v>Wed</v>
      </c>
      <c r="I594" s="8" t="s">
        <v>217</v>
      </c>
      <c r="J594" s="1">
        <v>60</v>
      </c>
    </row>
    <row r="595" spans="2:10" x14ac:dyDescent="0.2">
      <c r="B595" s="4">
        <v>42664</v>
      </c>
      <c r="C595" s="8" t="s">
        <v>253</v>
      </c>
      <c r="D595" s="1">
        <v>6</v>
      </c>
      <c r="E595" s="9" t="s">
        <v>122</v>
      </c>
      <c r="F595" s="22">
        <v>104</v>
      </c>
      <c r="G595" s="22">
        <v>135</v>
      </c>
      <c r="H595" s="1" t="str">
        <f t="shared" si="9"/>
        <v>Fri</v>
      </c>
      <c r="I595" s="8" t="s">
        <v>217</v>
      </c>
      <c r="J595" s="1">
        <v>60</v>
      </c>
    </row>
    <row r="596" spans="2:10" x14ac:dyDescent="0.2">
      <c r="B596" s="4">
        <v>42665</v>
      </c>
      <c r="C596" s="8" t="s">
        <v>248</v>
      </c>
      <c r="D596" s="1">
        <v>10</v>
      </c>
      <c r="E596" s="9" t="s">
        <v>45</v>
      </c>
      <c r="F596" s="22">
        <v>212</v>
      </c>
      <c r="G596" s="22">
        <v>122</v>
      </c>
      <c r="H596" s="1" t="str">
        <f t="shared" si="9"/>
        <v>Sat</v>
      </c>
      <c r="I596" s="8" t="s">
        <v>217</v>
      </c>
      <c r="J596" s="1">
        <v>60</v>
      </c>
    </row>
    <row r="597" spans="2:10" x14ac:dyDescent="0.2">
      <c r="B597" s="4">
        <v>42667</v>
      </c>
      <c r="C597" s="8" t="s">
        <v>253</v>
      </c>
      <c r="D597" s="1">
        <v>6</v>
      </c>
      <c r="E597" s="9" t="s">
        <v>260</v>
      </c>
      <c r="F597" s="22">
        <v>241</v>
      </c>
      <c r="G597" s="22">
        <v>123</v>
      </c>
      <c r="H597" s="1" t="str">
        <f t="shared" ref="H597:H647" si="10">TEXT(B597,"ddd")</f>
        <v>Mon</v>
      </c>
      <c r="I597" s="8" t="s">
        <v>217</v>
      </c>
      <c r="J597" s="1">
        <v>60</v>
      </c>
    </row>
    <row r="598" spans="2:10" x14ac:dyDescent="0.2">
      <c r="B598" s="4">
        <v>42669</v>
      </c>
      <c r="C598" s="8" t="s">
        <v>248</v>
      </c>
      <c r="D598" s="1">
        <v>5</v>
      </c>
      <c r="E598" s="9" t="s">
        <v>47</v>
      </c>
      <c r="F598" s="22">
        <v>168</v>
      </c>
      <c r="G598" s="22">
        <v>137</v>
      </c>
      <c r="H598" s="1" t="str">
        <f t="shared" si="10"/>
        <v>Wed</v>
      </c>
      <c r="I598" s="8" t="s">
        <v>217</v>
      </c>
      <c r="J598" s="1">
        <v>60</v>
      </c>
    </row>
    <row r="599" spans="2:10" x14ac:dyDescent="0.2">
      <c r="B599" s="4">
        <v>42671</v>
      </c>
      <c r="C599" s="8" t="s">
        <v>253</v>
      </c>
      <c r="D599" s="1">
        <v>6</v>
      </c>
      <c r="E599" s="9" t="s">
        <v>26</v>
      </c>
      <c r="F599" s="22">
        <v>139</v>
      </c>
      <c r="G599" s="22">
        <v>123</v>
      </c>
      <c r="H599" s="1" t="str">
        <f t="shared" si="10"/>
        <v>Fri</v>
      </c>
      <c r="I599" s="8" t="s">
        <v>217</v>
      </c>
      <c r="J599" s="1">
        <v>60</v>
      </c>
    </row>
    <row r="600" spans="2:10" x14ac:dyDescent="0.2">
      <c r="B600" s="4">
        <v>42672</v>
      </c>
      <c r="C600" s="8" t="s">
        <v>248</v>
      </c>
      <c r="D600" s="1">
        <v>10</v>
      </c>
      <c r="E600" s="9" t="s">
        <v>261</v>
      </c>
      <c r="F600" s="22">
        <v>178</v>
      </c>
      <c r="G600" s="22">
        <v>118</v>
      </c>
      <c r="H600" s="1" t="str">
        <f t="shared" si="10"/>
        <v>Sat</v>
      </c>
      <c r="I600" s="8" t="s">
        <v>217</v>
      </c>
      <c r="J600" s="1">
        <v>60</v>
      </c>
    </row>
    <row r="601" spans="2:10" x14ac:dyDescent="0.2">
      <c r="B601" s="4">
        <v>42674</v>
      </c>
      <c r="C601" s="8" t="s">
        <v>253</v>
      </c>
      <c r="D601" s="1">
        <v>6</v>
      </c>
      <c r="E601" s="9" t="s">
        <v>118</v>
      </c>
      <c r="F601" s="22">
        <v>100</v>
      </c>
      <c r="G601" s="22">
        <v>118</v>
      </c>
      <c r="H601" s="1" t="str">
        <f t="shared" si="10"/>
        <v>Mon</v>
      </c>
      <c r="I601" s="8" t="s">
        <v>217</v>
      </c>
      <c r="J601" s="1">
        <v>60</v>
      </c>
    </row>
    <row r="602" spans="2:10" x14ac:dyDescent="0.2">
      <c r="B602" s="4">
        <v>42676</v>
      </c>
      <c r="C602" s="8" t="s">
        <v>248</v>
      </c>
      <c r="D602" s="1">
        <v>5</v>
      </c>
      <c r="E602" s="9" t="s">
        <v>54</v>
      </c>
      <c r="F602" s="22">
        <v>131</v>
      </c>
      <c r="G602" s="22">
        <v>118</v>
      </c>
      <c r="H602" s="1" t="str">
        <f t="shared" si="10"/>
        <v>Wed</v>
      </c>
      <c r="I602" s="8" t="s">
        <v>217</v>
      </c>
      <c r="J602" s="1">
        <v>60</v>
      </c>
    </row>
    <row r="603" spans="2:10" x14ac:dyDescent="0.2">
      <c r="B603" s="4">
        <v>42678</v>
      </c>
      <c r="C603" s="8" t="s">
        <v>253</v>
      </c>
      <c r="D603" s="1">
        <v>6</v>
      </c>
      <c r="E603" s="9" t="s">
        <v>86</v>
      </c>
      <c r="F603" s="22">
        <v>158</v>
      </c>
      <c r="G603" s="22">
        <v>136</v>
      </c>
      <c r="H603" s="1" t="str">
        <f t="shared" si="10"/>
        <v>Fri</v>
      </c>
      <c r="I603" s="8" t="s">
        <v>217</v>
      </c>
      <c r="J603" s="1">
        <v>60</v>
      </c>
    </row>
    <row r="604" spans="2:10" x14ac:dyDescent="0.2">
      <c r="B604" s="4">
        <v>42679</v>
      </c>
      <c r="C604" s="8" t="s">
        <v>248</v>
      </c>
      <c r="D604" s="1">
        <v>11</v>
      </c>
      <c r="E604" s="9" t="s">
        <v>136</v>
      </c>
      <c r="F604" s="22">
        <v>231</v>
      </c>
      <c r="G604" s="22">
        <v>115</v>
      </c>
      <c r="H604" s="1" t="str">
        <f t="shared" si="10"/>
        <v>Sat</v>
      </c>
      <c r="I604" s="8" t="s">
        <v>217</v>
      </c>
      <c r="J604" s="1">
        <v>60</v>
      </c>
    </row>
    <row r="605" spans="2:10" x14ac:dyDescent="0.2">
      <c r="B605" s="4">
        <v>42681</v>
      </c>
      <c r="C605" s="8" t="s">
        <v>253</v>
      </c>
      <c r="D605" s="1">
        <v>4</v>
      </c>
      <c r="E605" s="9" t="s">
        <v>22</v>
      </c>
      <c r="F605" s="22">
        <v>104</v>
      </c>
      <c r="G605" s="22">
        <v>109</v>
      </c>
      <c r="H605" s="1" t="str">
        <f t="shared" si="10"/>
        <v>Mon</v>
      </c>
      <c r="I605" s="8" t="s">
        <v>220</v>
      </c>
      <c r="J605" s="1">
        <v>60</v>
      </c>
    </row>
    <row r="606" spans="2:10" x14ac:dyDescent="0.2">
      <c r="B606" s="4">
        <v>42682</v>
      </c>
      <c r="C606" s="8" t="s">
        <v>248</v>
      </c>
      <c r="D606" s="1">
        <v>3</v>
      </c>
      <c r="E606" s="9" t="s">
        <v>28</v>
      </c>
      <c r="F606" s="22">
        <v>50</v>
      </c>
      <c r="G606" s="22">
        <v>118</v>
      </c>
      <c r="H606" s="1" t="str">
        <f t="shared" si="10"/>
        <v>Tue</v>
      </c>
      <c r="I606" s="8" t="s">
        <v>220</v>
      </c>
      <c r="J606" s="1">
        <v>60</v>
      </c>
    </row>
    <row r="607" spans="2:10" x14ac:dyDescent="0.2">
      <c r="B607" s="4">
        <v>42683</v>
      </c>
      <c r="C607" s="8" t="s">
        <v>253</v>
      </c>
      <c r="D607" s="1">
        <v>4</v>
      </c>
      <c r="E607" s="9" t="s">
        <v>50</v>
      </c>
      <c r="F607" s="22">
        <v>138</v>
      </c>
      <c r="G607" s="22">
        <v>112</v>
      </c>
      <c r="H607" s="1" t="str">
        <f t="shared" si="10"/>
        <v>Wed</v>
      </c>
      <c r="I607" s="8" t="s">
        <v>220</v>
      </c>
      <c r="J607" s="1">
        <v>60</v>
      </c>
    </row>
    <row r="608" spans="2:10" x14ac:dyDescent="0.2">
      <c r="B608" s="4">
        <v>42684</v>
      </c>
      <c r="C608" s="8" t="s">
        <v>248</v>
      </c>
      <c r="D608" s="1">
        <v>3</v>
      </c>
      <c r="E608" s="9" t="s">
        <v>67</v>
      </c>
      <c r="F608" s="22">
        <v>56</v>
      </c>
      <c r="G608" s="22">
        <v>113</v>
      </c>
      <c r="H608" s="1" t="str">
        <f t="shared" si="10"/>
        <v>Thu</v>
      </c>
      <c r="I608" s="8" t="s">
        <v>220</v>
      </c>
      <c r="J608" s="1">
        <v>60</v>
      </c>
    </row>
    <row r="609" spans="2:10" x14ac:dyDescent="0.2">
      <c r="B609" s="4">
        <v>42685</v>
      </c>
      <c r="C609" s="8" t="s">
        <v>253</v>
      </c>
      <c r="D609" s="1">
        <v>4</v>
      </c>
      <c r="E609" s="9" t="s">
        <v>55</v>
      </c>
      <c r="F609" s="22">
        <v>77</v>
      </c>
      <c r="G609" s="22">
        <v>110</v>
      </c>
      <c r="H609" s="1" t="str">
        <f t="shared" si="10"/>
        <v>Fri</v>
      </c>
      <c r="I609" s="8" t="s">
        <v>220</v>
      </c>
      <c r="J609" s="1">
        <v>60</v>
      </c>
    </row>
    <row r="610" spans="2:10" x14ac:dyDescent="0.2">
      <c r="B610" s="4">
        <v>42686</v>
      </c>
      <c r="C610" s="8" t="s">
        <v>248</v>
      </c>
      <c r="D610" s="1">
        <v>10</v>
      </c>
      <c r="E610" s="9" t="s">
        <v>129</v>
      </c>
      <c r="F610" s="22">
        <v>748</v>
      </c>
      <c r="G610" s="22">
        <v>124</v>
      </c>
      <c r="H610" s="1" t="str">
        <f t="shared" si="10"/>
        <v>Sat</v>
      </c>
      <c r="I610" s="8" t="s">
        <v>220</v>
      </c>
      <c r="J610" s="1">
        <v>60</v>
      </c>
    </row>
    <row r="611" spans="2:10" x14ac:dyDescent="0.2">
      <c r="B611" s="4">
        <v>42688</v>
      </c>
      <c r="C611" s="8" t="s">
        <v>248</v>
      </c>
      <c r="D611" s="1">
        <v>4</v>
      </c>
      <c r="E611" s="9" t="s">
        <v>61</v>
      </c>
      <c r="F611" s="22">
        <v>142</v>
      </c>
      <c r="G611" s="22">
        <v>119</v>
      </c>
      <c r="H611" s="1" t="str">
        <f t="shared" si="10"/>
        <v>Mon</v>
      </c>
      <c r="I611" s="8" t="s">
        <v>217</v>
      </c>
      <c r="J611" s="1">
        <v>60</v>
      </c>
    </row>
    <row r="612" spans="2:10" x14ac:dyDescent="0.2">
      <c r="B612" s="4">
        <v>42689</v>
      </c>
      <c r="C612" s="8" t="s">
        <v>253</v>
      </c>
      <c r="D612" s="1">
        <v>3</v>
      </c>
      <c r="E612" s="9" t="s">
        <v>52</v>
      </c>
      <c r="F612" s="22">
        <v>51</v>
      </c>
      <c r="G612" s="22">
        <v>122</v>
      </c>
      <c r="H612" s="1" t="str">
        <f t="shared" si="10"/>
        <v>Tue</v>
      </c>
      <c r="I612" s="8" t="s">
        <v>217</v>
      </c>
      <c r="J612" s="1">
        <v>60</v>
      </c>
    </row>
    <row r="613" spans="2:10" x14ac:dyDescent="0.2">
      <c r="B613" s="4">
        <v>42690</v>
      </c>
      <c r="C613" s="8" t="s">
        <v>248</v>
      </c>
      <c r="D613" s="1">
        <v>5</v>
      </c>
      <c r="E613" s="9" t="s">
        <v>17</v>
      </c>
      <c r="F613" s="22">
        <v>183</v>
      </c>
      <c r="G613" s="22">
        <v>118</v>
      </c>
      <c r="H613" s="1" t="str">
        <f t="shared" si="10"/>
        <v>Wed</v>
      </c>
      <c r="I613" s="8" t="s">
        <v>217</v>
      </c>
      <c r="J613" s="1">
        <v>60</v>
      </c>
    </row>
    <row r="614" spans="2:10" x14ac:dyDescent="0.2">
      <c r="B614" s="4">
        <v>42691</v>
      </c>
      <c r="C614" s="8" t="s">
        <v>253</v>
      </c>
      <c r="D614" s="1">
        <v>3</v>
      </c>
      <c r="E614" s="9" t="s">
        <v>58</v>
      </c>
      <c r="F614" s="22">
        <v>48</v>
      </c>
      <c r="G614" s="22">
        <v>117</v>
      </c>
      <c r="H614" s="1" t="str">
        <f t="shared" si="10"/>
        <v>Thu</v>
      </c>
      <c r="I614" s="8" t="s">
        <v>217</v>
      </c>
      <c r="J614" s="1">
        <v>60</v>
      </c>
    </row>
    <row r="615" spans="2:10" x14ac:dyDescent="0.2">
      <c r="B615" s="4">
        <v>42692</v>
      </c>
      <c r="C615" s="8" t="s">
        <v>248</v>
      </c>
      <c r="D615" s="1">
        <v>4</v>
      </c>
      <c r="E615" s="9" t="s">
        <v>16</v>
      </c>
      <c r="F615" s="22">
        <v>71</v>
      </c>
      <c r="G615" s="22">
        <v>113</v>
      </c>
      <c r="H615" s="1" t="str">
        <f t="shared" si="10"/>
        <v>Fri</v>
      </c>
      <c r="I615" s="8" t="s">
        <v>217</v>
      </c>
      <c r="J615" s="1">
        <v>60</v>
      </c>
    </row>
    <row r="616" spans="2:10" x14ac:dyDescent="0.2">
      <c r="B616" s="4">
        <v>42693</v>
      </c>
      <c r="C616" s="8" t="s">
        <v>253</v>
      </c>
      <c r="D616" s="1">
        <v>11</v>
      </c>
      <c r="E616" s="9" t="s">
        <v>26</v>
      </c>
      <c r="F616" s="22">
        <v>283</v>
      </c>
      <c r="G616" s="22">
        <v>112</v>
      </c>
      <c r="H616" s="1" t="str">
        <f t="shared" si="10"/>
        <v>Sat</v>
      </c>
      <c r="I616" s="8" t="s">
        <v>217</v>
      </c>
      <c r="J616" s="1">
        <v>60</v>
      </c>
    </row>
    <row r="617" spans="2:10" x14ac:dyDescent="0.2">
      <c r="B617" s="4">
        <v>42695</v>
      </c>
      <c r="C617" s="8" t="s">
        <v>253</v>
      </c>
      <c r="D617" s="1">
        <v>4</v>
      </c>
      <c r="E617" s="9" t="s">
        <v>18</v>
      </c>
      <c r="F617" s="22">
        <v>128</v>
      </c>
      <c r="G617" s="22">
        <v>108</v>
      </c>
      <c r="H617" s="1" t="str">
        <f t="shared" si="10"/>
        <v>Mon</v>
      </c>
      <c r="I617" s="8" t="s">
        <v>220</v>
      </c>
      <c r="J617" s="1">
        <v>60</v>
      </c>
    </row>
    <row r="618" spans="2:10" x14ac:dyDescent="0.2">
      <c r="B618" s="4">
        <v>42696</v>
      </c>
      <c r="C618" s="8" t="s">
        <v>248</v>
      </c>
      <c r="D618" s="1">
        <v>3</v>
      </c>
      <c r="E618" s="9" t="s">
        <v>247</v>
      </c>
      <c r="F618" s="22">
        <v>10</v>
      </c>
      <c r="G618" s="22">
        <v>143</v>
      </c>
      <c r="H618" s="1" t="str">
        <f t="shared" si="10"/>
        <v>Tue</v>
      </c>
      <c r="I618" s="8" t="s">
        <v>220</v>
      </c>
      <c r="J618" s="1">
        <v>60</v>
      </c>
    </row>
    <row r="619" spans="2:10" x14ac:dyDescent="0.2">
      <c r="B619" s="4">
        <v>42697</v>
      </c>
      <c r="C619" s="8" t="s">
        <v>263</v>
      </c>
      <c r="D619" s="1">
        <v>4</v>
      </c>
      <c r="E619" s="9" t="s">
        <v>20</v>
      </c>
      <c r="F619" s="22">
        <v>129</v>
      </c>
      <c r="G619" s="22">
        <v>114</v>
      </c>
      <c r="H619" s="1" t="str">
        <f t="shared" si="10"/>
        <v>Wed</v>
      </c>
      <c r="I619" s="8" t="s">
        <v>220</v>
      </c>
      <c r="J619" s="1">
        <v>60</v>
      </c>
    </row>
    <row r="620" spans="2:10" x14ac:dyDescent="0.2">
      <c r="B620" s="4">
        <v>42698</v>
      </c>
      <c r="C620" s="8" t="s">
        <v>263</v>
      </c>
      <c r="D620" s="1">
        <v>9</v>
      </c>
      <c r="E620" s="9" t="s">
        <v>54</v>
      </c>
      <c r="F620" s="22">
        <v>165</v>
      </c>
      <c r="G620" s="22">
        <v>135</v>
      </c>
      <c r="H620" s="1" t="str">
        <f t="shared" si="10"/>
        <v>Thu</v>
      </c>
      <c r="I620" s="8" t="s">
        <v>220</v>
      </c>
      <c r="J620" s="1">
        <v>60</v>
      </c>
    </row>
    <row r="621" spans="2:10" x14ac:dyDescent="0.2">
      <c r="B621" s="4">
        <v>42702</v>
      </c>
      <c r="C621" s="8" t="s">
        <v>253</v>
      </c>
      <c r="D621" s="1">
        <v>5</v>
      </c>
      <c r="E621" s="9" t="s">
        <v>241</v>
      </c>
      <c r="F621" s="22">
        <v>205</v>
      </c>
      <c r="G621" s="22">
        <v>124</v>
      </c>
      <c r="H621" s="1" t="str">
        <f t="shared" si="10"/>
        <v>Mon</v>
      </c>
      <c r="I621" s="8" t="s">
        <v>217</v>
      </c>
      <c r="J621" s="1">
        <v>60</v>
      </c>
    </row>
    <row r="622" spans="2:10" x14ac:dyDescent="0.2">
      <c r="B622" s="4">
        <v>42703</v>
      </c>
      <c r="C622" s="8" t="s">
        <v>248</v>
      </c>
      <c r="D622" s="1">
        <v>3</v>
      </c>
      <c r="E622" s="9" t="s">
        <v>264</v>
      </c>
      <c r="F622" s="22">
        <v>49</v>
      </c>
      <c r="G622" s="22">
        <v>132</v>
      </c>
      <c r="H622" s="1" t="str">
        <f t="shared" si="10"/>
        <v>Tue</v>
      </c>
      <c r="I622" s="8" t="s">
        <v>217</v>
      </c>
      <c r="J622" s="1">
        <v>60</v>
      </c>
    </row>
    <row r="623" spans="2:10" x14ac:dyDescent="0.2">
      <c r="B623" s="4">
        <v>42704</v>
      </c>
      <c r="C623" s="8" t="s">
        <v>253</v>
      </c>
      <c r="D623" s="1">
        <v>5</v>
      </c>
      <c r="E623" s="9" t="s">
        <v>61</v>
      </c>
      <c r="F623" s="22">
        <v>176</v>
      </c>
      <c r="G623" s="22">
        <v>139</v>
      </c>
      <c r="H623" s="1" t="str">
        <f t="shared" si="10"/>
        <v>Wed</v>
      </c>
      <c r="I623" s="8" t="s">
        <v>217</v>
      </c>
      <c r="J623" s="1">
        <v>60</v>
      </c>
    </row>
    <row r="624" spans="2:10" x14ac:dyDescent="0.2">
      <c r="B624" s="4">
        <v>42705</v>
      </c>
      <c r="C624" s="8" t="s">
        <v>248</v>
      </c>
      <c r="D624" s="1">
        <v>3</v>
      </c>
      <c r="E624" s="9" t="s">
        <v>97</v>
      </c>
      <c r="F624" s="22">
        <v>11</v>
      </c>
      <c r="G624" s="22">
        <v>145</v>
      </c>
      <c r="H624" s="1" t="str">
        <f t="shared" si="10"/>
        <v>Thu</v>
      </c>
      <c r="I624" s="8" t="s">
        <v>217</v>
      </c>
      <c r="J624" s="1">
        <v>60</v>
      </c>
    </row>
    <row r="625" spans="2:10" x14ac:dyDescent="0.2">
      <c r="B625" s="4">
        <v>42706</v>
      </c>
      <c r="C625" s="8" t="s">
        <v>253</v>
      </c>
      <c r="D625" s="1">
        <v>4</v>
      </c>
      <c r="E625" s="9" t="s">
        <v>47</v>
      </c>
      <c r="F625" s="22">
        <v>133</v>
      </c>
      <c r="G625" s="22">
        <v>185</v>
      </c>
      <c r="H625" s="1" t="str">
        <f t="shared" si="10"/>
        <v>Fri</v>
      </c>
      <c r="I625" s="8" t="s">
        <v>217</v>
      </c>
      <c r="J625" s="1">
        <v>60</v>
      </c>
    </row>
    <row r="626" spans="2:10" x14ac:dyDescent="0.2">
      <c r="B626" s="4">
        <v>42707</v>
      </c>
      <c r="C626" s="8" t="s">
        <v>248</v>
      </c>
      <c r="D626" s="1">
        <v>12</v>
      </c>
      <c r="E626" s="9" t="s">
        <v>53</v>
      </c>
      <c r="F626" s="22">
        <v>213</v>
      </c>
      <c r="G626" s="22">
        <v>131</v>
      </c>
      <c r="H626" s="1" t="str">
        <f t="shared" si="10"/>
        <v>Sat</v>
      </c>
      <c r="I626" s="8" t="s">
        <v>217</v>
      </c>
      <c r="J626" s="1">
        <v>60</v>
      </c>
    </row>
    <row r="627" spans="2:10" x14ac:dyDescent="0.2">
      <c r="B627" s="4">
        <v>42709</v>
      </c>
      <c r="C627" s="8" t="s">
        <v>248</v>
      </c>
      <c r="D627" s="1">
        <v>4</v>
      </c>
      <c r="E627" s="9" t="s">
        <v>67</v>
      </c>
      <c r="F627" s="22">
        <v>127</v>
      </c>
      <c r="G627" s="22">
        <v>141</v>
      </c>
      <c r="H627" s="1" t="str">
        <f t="shared" si="10"/>
        <v>Mon</v>
      </c>
      <c r="I627" s="8" t="s">
        <v>220</v>
      </c>
      <c r="J627" s="1">
        <v>60</v>
      </c>
    </row>
    <row r="628" spans="2:10" x14ac:dyDescent="0.2">
      <c r="B628" s="4">
        <v>42710</v>
      </c>
      <c r="C628" s="8" t="s">
        <v>253</v>
      </c>
      <c r="D628" s="1">
        <v>3</v>
      </c>
      <c r="E628" s="9" t="s">
        <v>150</v>
      </c>
      <c r="F628" s="22">
        <v>42</v>
      </c>
      <c r="G628" s="22">
        <v>174</v>
      </c>
      <c r="H628" s="1" t="str">
        <f t="shared" si="10"/>
        <v>Tue</v>
      </c>
      <c r="I628" s="8" t="s">
        <v>220</v>
      </c>
      <c r="J628" s="1">
        <v>60</v>
      </c>
    </row>
    <row r="629" spans="2:10" x14ac:dyDescent="0.2">
      <c r="B629" s="4">
        <v>42711</v>
      </c>
      <c r="C629" s="8" t="s">
        <v>248</v>
      </c>
      <c r="D629" s="1">
        <v>4</v>
      </c>
      <c r="E629" s="9" t="s">
        <v>46</v>
      </c>
      <c r="F629" s="22">
        <v>109</v>
      </c>
      <c r="G629" s="22">
        <v>183</v>
      </c>
      <c r="H629" s="1" t="str">
        <f t="shared" si="10"/>
        <v>Wed</v>
      </c>
      <c r="I629" s="8" t="s">
        <v>220</v>
      </c>
      <c r="J629" s="1">
        <v>60</v>
      </c>
    </row>
    <row r="630" spans="2:10" x14ac:dyDescent="0.2">
      <c r="B630" s="4">
        <v>42712</v>
      </c>
      <c r="C630" s="8" t="s">
        <v>253</v>
      </c>
      <c r="D630" s="1">
        <v>3</v>
      </c>
      <c r="E630" s="9" t="s">
        <v>155</v>
      </c>
      <c r="F630" s="22">
        <v>12</v>
      </c>
      <c r="G630" s="22">
        <v>127</v>
      </c>
      <c r="H630" s="1" t="str">
        <f t="shared" si="10"/>
        <v>Thu</v>
      </c>
      <c r="I630" s="8" t="s">
        <v>220</v>
      </c>
      <c r="J630" s="1">
        <v>60</v>
      </c>
    </row>
    <row r="631" spans="2:10" x14ac:dyDescent="0.2">
      <c r="B631" s="4">
        <v>42713</v>
      </c>
      <c r="C631" s="8" t="s">
        <v>248</v>
      </c>
      <c r="D631" s="1">
        <v>4</v>
      </c>
      <c r="E631" s="9" t="s">
        <v>18</v>
      </c>
      <c r="F631" s="22">
        <v>126</v>
      </c>
      <c r="G631" s="22">
        <v>169</v>
      </c>
      <c r="H631" s="1" t="str">
        <f t="shared" si="10"/>
        <v>Fri</v>
      </c>
      <c r="I631" s="8" t="s">
        <v>220</v>
      </c>
      <c r="J631" s="1">
        <v>60</v>
      </c>
    </row>
    <row r="632" spans="2:10" x14ac:dyDescent="0.2">
      <c r="B632" s="4">
        <v>42714</v>
      </c>
      <c r="C632" s="8" t="s">
        <v>253</v>
      </c>
      <c r="D632" s="1">
        <v>10</v>
      </c>
      <c r="E632" s="9" t="s">
        <v>113</v>
      </c>
      <c r="F632" s="22">
        <v>756</v>
      </c>
      <c r="G632" s="22">
        <v>137</v>
      </c>
      <c r="H632" s="1" t="str">
        <f t="shared" si="10"/>
        <v>Sat</v>
      </c>
      <c r="I632" s="8" t="s">
        <v>220</v>
      </c>
      <c r="J632" s="1">
        <v>60</v>
      </c>
    </row>
    <row r="633" spans="2:10" x14ac:dyDescent="0.2">
      <c r="B633" s="4">
        <v>42716</v>
      </c>
      <c r="C633" s="8" t="s">
        <v>253</v>
      </c>
      <c r="D633" s="1">
        <v>5</v>
      </c>
      <c r="E633" s="9" t="s">
        <v>18</v>
      </c>
      <c r="F633" s="22">
        <v>62</v>
      </c>
      <c r="G633" s="22">
        <v>146</v>
      </c>
      <c r="H633" s="1" t="str">
        <f t="shared" si="10"/>
        <v>Mon</v>
      </c>
      <c r="I633" s="8" t="s">
        <v>217</v>
      </c>
      <c r="J633" s="1">
        <v>60</v>
      </c>
    </row>
    <row r="634" spans="2:10" x14ac:dyDescent="0.2">
      <c r="B634" s="4">
        <v>42717</v>
      </c>
      <c r="C634" s="8" t="s">
        <v>248</v>
      </c>
      <c r="D634" s="1">
        <v>3</v>
      </c>
      <c r="E634" s="9" t="s">
        <v>107</v>
      </c>
      <c r="F634" s="22">
        <v>50</v>
      </c>
      <c r="G634" s="22">
        <v>165</v>
      </c>
      <c r="H634" s="1" t="str">
        <f t="shared" si="10"/>
        <v>Tue</v>
      </c>
      <c r="I634" s="8" t="s">
        <v>217</v>
      </c>
      <c r="J634" s="1">
        <v>60</v>
      </c>
    </row>
    <row r="635" spans="2:10" x14ac:dyDescent="0.2">
      <c r="B635" s="4">
        <v>42718</v>
      </c>
      <c r="C635" s="8" t="s">
        <v>253</v>
      </c>
      <c r="D635" s="1">
        <v>5</v>
      </c>
      <c r="E635" s="9" t="s">
        <v>71</v>
      </c>
      <c r="F635" s="22">
        <v>177</v>
      </c>
      <c r="G635" s="22">
        <v>140</v>
      </c>
      <c r="H635" s="1" t="str">
        <f t="shared" si="10"/>
        <v>Wed</v>
      </c>
      <c r="I635" s="8" t="s">
        <v>217</v>
      </c>
      <c r="J635" s="1">
        <v>60</v>
      </c>
    </row>
    <row r="636" spans="2:10" x14ac:dyDescent="0.2">
      <c r="B636" s="4">
        <v>42719</v>
      </c>
      <c r="C636" s="8" t="s">
        <v>248</v>
      </c>
      <c r="D636" s="1">
        <v>3</v>
      </c>
      <c r="E636" s="9" t="s">
        <v>107</v>
      </c>
      <c r="F636" s="22">
        <v>26</v>
      </c>
      <c r="G636" s="22">
        <v>178</v>
      </c>
      <c r="H636" s="1" t="str">
        <f t="shared" si="10"/>
        <v>Thu</v>
      </c>
      <c r="I636" s="8" t="s">
        <v>217</v>
      </c>
      <c r="J636" s="1">
        <v>60</v>
      </c>
    </row>
    <row r="637" spans="2:10" x14ac:dyDescent="0.2">
      <c r="B637" s="4">
        <v>42720</v>
      </c>
      <c r="C637" s="8" t="s">
        <v>253</v>
      </c>
      <c r="D637" s="1">
        <v>4</v>
      </c>
      <c r="E637" s="9" t="s">
        <v>46</v>
      </c>
      <c r="F637" s="22">
        <v>120</v>
      </c>
      <c r="G637" s="22">
        <v>180</v>
      </c>
      <c r="H637" s="1" t="str">
        <f t="shared" si="10"/>
        <v>Fri</v>
      </c>
      <c r="I637" s="8" t="s">
        <v>217</v>
      </c>
      <c r="J637" s="1">
        <v>60</v>
      </c>
    </row>
    <row r="638" spans="2:10" x14ac:dyDescent="0.2">
      <c r="B638" s="4">
        <v>42721</v>
      </c>
      <c r="C638" s="8" t="s">
        <v>248</v>
      </c>
      <c r="D638" s="1">
        <v>13</v>
      </c>
      <c r="E638" s="9" t="s">
        <v>79</v>
      </c>
      <c r="F638" s="22">
        <v>396</v>
      </c>
      <c r="G638" s="22">
        <v>131</v>
      </c>
      <c r="H638" s="1" t="str">
        <f t="shared" si="10"/>
        <v>Sat</v>
      </c>
      <c r="I638" s="8" t="s">
        <v>217</v>
      </c>
      <c r="J638" s="1">
        <v>60</v>
      </c>
    </row>
    <row r="639" spans="2:10" x14ac:dyDescent="0.2">
      <c r="B639" s="4">
        <v>42723</v>
      </c>
      <c r="C639" s="8" t="s">
        <v>248</v>
      </c>
      <c r="D639" s="1">
        <v>4</v>
      </c>
      <c r="E639" s="9" t="s">
        <v>117</v>
      </c>
      <c r="F639" s="22">
        <v>8</v>
      </c>
      <c r="G639" s="22">
        <v>191</v>
      </c>
      <c r="H639" s="1" t="str">
        <f t="shared" si="10"/>
        <v>Mon</v>
      </c>
      <c r="I639" s="8" t="s">
        <v>220</v>
      </c>
      <c r="J639" s="1">
        <v>60</v>
      </c>
    </row>
    <row r="640" spans="2:10" x14ac:dyDescent="0.2">
      <c r="B640" s="4">
        <v>42747</v>
      </c>
      <c r="C640" s="8" t="s">
        <v>253</v>
      </c>
      <c r="D640" s="1">
        <v>3</v>
      </c>
      <c r="E640" s="9" t="s">
        <v>265</v>
      </c>
      <c r="F640" s="22">
        <v>10</v>
      </c>
      <c r="G640" s="22">
        <v>125</v>
      </c>
      <c r="H640" s="1" t="str">
        <f t="shared" si="10"/>
        <v>Thu</v>
      </c>
      <c r="I640" s="8" t="s">
        <v>220</v>
      </c>
      <c r="J640" s="1">
        <v>60</v>
      </c>
    </row>
    <row r="641" spans="2:10" x14ac:dyDescent="0.2">
      <c r="B641" s="4">
        <v>42758</v>
      </c>
      <c r="C641" s="8" t="s">
        <v>248</v>
      </c>
      <c r="D641" s="1">
        <v>4</v>
      </c>
      <c r="E641" s="9" t="s">
        <v>22</v>
      </c>
      <c r="F641" s="22">
        <v>137</v>
      </c>
      <c r="G641" s="22">
        <v>134</v>
      </c>
      <c r="H641" s="1" t="str">
        <f t="shared" si="10"/>
        <v>Mon</v>
      </c>
      <c r="I641" s="8" t="s">
        <v>217</v>
      </c>
      <c r="J641" s="1">
        <v>60</v>
      </c>
    </row>
    <row r="642" spans="2:10" x14ac:dyDescent="0.2">
      <c r="B642" s="4">
        <v>42760</v>
      </c>
      <c r="C642" s="8" t="s">
        <v>253</v>
      </c>
      <c r="D642" s="1">
        <v>4</v>
      </c>
      <c r="E642" s="9" t="s">
        <v>73</v>
      </c>
      <c r="F642" s="22">
        <v>118</v>
      </c>
      <c r="G642" s="22">
        <v>120</v>
      </c>
      <c r="H642" s="1" t="str">
        <f t="shared" si="10"/>
        <v>Wed</v>
      </c>
      <c r="I642" s="8" t="s">
        <v>217</v>
      </c>
      <c r="J642" s="1">
        <v>60</v>
      </c>
    </row>
    <row r="643" spans="2:10" x14ac:dyDescent="0.2">
      <c r="B643" s="4">
        <v>42762</v>
      </c>
      <c r="C643" s="8" t="s">
        <v>248</v>
      </c>
      <c r="D643" s="1">
        <v>4</v>
      </c>
      <c r="E643" s="9" t="s">
        <v>99</v>
      </c>
      <c r="F643" s="22">
        <v>128</v>
      </c>
      <c r="G643" s="22">
        <v>136</v>
      </c>
      <c r="H643" s="1" t="str">
        <f t="shared" si="10"/>
        <v>Fri</v>
      </c>
      <c r="I643" s="8" t="s">
        <v>217</v>
      </c>
      <c r="J643" s="1">
        <v>60</v>
      </c>
    </row>
    <row r="644" spans="2:10" x14ac:dyDescent="0.2">
      <c r="B644" s="4">
        <v>42763</v>
      </c>
      <c r="C644" s="8" t="s">
        <v>253</v>
      </c>
      <c r="D644" s="1">
        <v>8</v>
      </c>
      <c r="E644" s="9" t="s">
        <v>221</v>
      </c>
      <c r="F644" s="22">
        <v>156</v>
      </c>
      <c r="G644" s="22">
        <v>151</v>
      </c>
      <c r="H644" s="1" t="str">
        <f t="shared" si="10"/>
        <v>Sat</v>
      </c>
      <c r="I644" s="8" t="s">
        <v>217</v>
      </c>
      <c r="J644" s="1">
        <v>60</v>
      </c>
    </row>
    <row r="645" spans="2:10" x14ac:dyDescent="0.2">
      <c r="B645" s="4">
        <v>42765</v>
      </c>
      <c r="C645" s="8" t="s">
        <v>248</v>
      </c>
      <c r="D645" s="1">
        <v>3</v>
      </c>
      <c r="E645" s="9" t="s">
        <v>244</v>
      </c>
      <c r="F645" s="22">
        <v>53</v>
      </c>
      <c r="G645" s="22">
        <v>128</v>
      </c>
      <c r="H645" s="1" t="str">
        <f t="shared" si="10"/>
        <v>Mon</v>
      </c>
      <c r="I645" s="8" t="s">
        <v>217</v>
      </c>
      <c r="J645" s="1">
        <v>60</v>
      </c>
    </row>
    <row r="646" spans="2:10" x14ac:dyDescent="0.2">
      <c r="B646" s="4">
        <v>42767</v>
      </c>
      <c r="C646" s="8" t="s">
        <v>248</v>
      </c>
      <c r="D646" s="1">
        <v>4</v>
      </c>
      <c r="E646" s="9" t="s">
        <v>99</v>
      </c>
      <c r="F646" s="22">
        <v>67</v>
      </c>
      <c r="G646" s="22">
        <v>132</v>
      </c>
      <c r="H646" s="1" t="str">
        <f t="shared" si="10"/>
        <v>Wed</v>
      </c>
      <c r="I646" s="8" t="s">
        <v>217</v>
      </c>
      <c r="J646" s="1">
        <v>60</v>
      </c>
    </row>
    <row r="647" spans="2:10" x14ac:dyDescent="0.2">
      <c r="B647" s="4">
        <v>42769</v>
      </c>
      <c r="C647" s="8" t="s">
        <v>253</v>
      </c>
      <c r="D647" s="1">
        <v>4</v>
      </c>
      <c r="E647" s="9" t="s">
        <v>99</v>
      </c>
      <c r="F647" s="22">
        <v>94</v>
      </c>
      <c r="G647" s="22">
        <v>118</v>
      </c>
      <c r="H647" s="1" t="str">
        <f t="shared" si="10"/>
        <v>Fri</v>
      </c>
      <c r="I647" s="8" t="s">
        <v>217</v>
      </c>
      <c r="J647" s="1">
        <v>60</v>
      </c>
    </row>
    <row r="648" spans="2:10" x14ac:dyDescent="0.2">
      <c r="B648" s="4">
        <v>42770</v>
      </c>
      <c r="C648" s="8" t="s">
        <v>248</v>
      </c>
      <c r="D648" s="1">
        <v>8</v>
      </c>
      <c r="E648" s="9" t="s">
        <v>258</v>
      </c>
      <c r="F648" s="22">
        <v>155</v>
      </c>
      <c r="G648" s="22">
        <v>133</v>
      </c>
      <c r="H648" s="1" t="str">
        <f t="shared" ref="H648" si="11">TEXT(B648,"ddd")</f>
        <v>Sat</v>
      </c>
      <c r="I648" s="8" t="s">
        <v>217</v>
      </c>
      <c r="J648" s="1">
        <v>60</v>
      </c>
    </row>
    <row r="649" spans="2:10" x14ac:dyDescent="0.2">
      <c r="B649" s="4">
        <v>42772</v>
      </c>
      <c r="C649" s="8" t="s">
        <v>253</v>
      </c>
      <c r="D649" s="1">
        <v>5</v>
      </c>
      <c r="E649" s="9" t="s">
        <v>261</v>
      </c>
      <c r="F649" s="22">
        <v>144</v>
      </c>
      <c r="G649" s="22">
        <v>118</v>
      </c>
      <c r="H649" s="1" t="str">
        <f t="shared" ref="H649:H705" si="12">TEXT(B649,"ddd")</f>
        <v>Mon</v>
      </c>
      <c r="I649" s="8" t="s">
        <v>217</v>
      </c>
      <c r="J649" s="1">
        <v>60</v>
      </c>
    </row>
    <row r="650" spans="2:10" x14ac:dyDescent="0.2">
      <c r="B650" s="4">
        <v>42773</v>
      </c>
      <c r="C650" s="8" t="s">
        <v>248</v>
      </c>
      <c r="D650" s="1">
        <v>3</v>
      </c>
      <c r="E650" s="9" t="s">
        <v>57</v>
      </c>
      <c r="F650" s="22">
        <v>58</v>
      </c>
      <c r="G650" s="22">
        <v>133</v>
      </c>
      <c r="H650" s="1" t="str">
        <f t="shared" si="12"/>
        <v>Tue</v>
      </c>
      <c r="I650" s="8" t="s">
        <v>217</v>
      </c>
      <c r="J650" s="1">
        <v>60</v>
      </c>
    </row>
    <row r="651" spans="2:10" x14ac:dyDescent="0.2">
      <c r="B651" s="4">
        <v>42774</v>
      </c>
      <c r="C651" s="8" t="s">
        <v>253</v>
      </c>
      <c r="D651" s="1">
        <v>5</v>
      </c>
      <c r="E651" s="9" t="s">
        <v>260</v>
      </c>
      <c r="F651" s="22">
        <v>180</v>
      </c>
      <c r="G651" s="22">
        <v>134</v>
      </c>
      <c r="H651" s="1" t="str">
        <f t="shared" si="12"/>
        <v>Wed</v>
      </c>
      <c r="I651" s="8" t="s">
        <v>217</v>
      </c>
      <c r="J651" s="1">
        <v>60</v>
      </c>
    </row>
    <row r="652" spans="2:10" x14ac:dyDescent="0.2">
      <c r="B652" s="4">
        <v>42775</v>
      </c>
      <c r="C652" s="8" t="s">
        <v>248</v>
      </c>
      <c r="D652" s="1">
        <v>3</v>
      </c>
      <c r="E652" s="9" t="s">
        <v>99</v>
      </c>
      <c r="F652" s="22">
        <v>0</v>
      </c>
      <c r="G652" s="22">
        <v>151</v>
      </c>
      <c r="H652" s="1" t="str">
        <f t="shared" si="12"/>
        <v>Thu</v>
      </c>
      <c r="I652" s="8" t="s">
        <v>217</v>
      </c>
      <c r="J652" s="1">
        <v>60</v>
      </c>
    </row>
    <row r="653" spans="2:10" x14ac:dyDescent="0.2">
      <c r="B653" s="4">
        <v>42776</v>
      </c>
      <c r="C653" s="8" t="s">
        <v>248</v>
      </c>
      <c r="D653" s="1">
        <v>5</v>
      </c>
      <c r="E653" s="9" t="s">
        <v>260</v>
      </c>
      <c r="F653" s="22">
        <v>80</v>
      </c>
      <c r="G653" s="22">
        <v>129</v>
      </c>
      <c r="H653" s="1" t="str">
        <f t="shared" si="12"/>
        <v>Fri</v>
      </c>
      <c r="I653" s="8" t="s">
        <v>217</v>
      </c>
      <c r="J653" s="1">
        <v>60</v>
      </c>
    </row>
    <row r="654" spans="2:10" x14ac:dyDescent="0.2">
      <c r="B654" s="4">
        <v>42777</v>
      </c>
      <c r="C654" s="8" t="s">
        <v>253</v>
      </c>
      <c r="D654" s="1">
        <v>10</v>
      </c>
      <c r="E654" s="9" t="s">
        <v>98</v>
      </c>
      <c r="F654" s="22">
        <v>287</v>
      </c>
      <c r="G654" s="22">
        <v>114</v>
      </c>
      <c r="H654" s="1" t="str">
        <f t="shared" si="12"/>
        <v>Sat</v>
      </c>
      <c r="I654" s="8" t="s">
        <v>217</v>
      </c>
      <c r="J654" s="1">
        <v>60</v>
      </c>
    </row>
    <row r="655" spans="2:10" x14ac:dyDescent="0.2">
      <c r="B655" s="4">
        <v>42779</v>
      </c>
      <c r="C655" s="8" t="s">
        <v>253</v>
      </c>
      <c r="D655" s="1">
        <v>5</v>
      </c>
      <c r="E655" s="9" t="s">
        <v>121</v>
      </c>
      <c r="F655" s="22">
        <v>145</v>
      </c>
      <c r="G655" s="22">
        <v>120</v>
      </c>
      <c r="H655" s="1" t="str">
        <f t="shared" si="12"/>
        <v>Mon</v>
      </c>
      <c r="I655" s="8" t="s">
        <v>218</v>
      </c>
      <c r="J655" s="1">
        <v>60</v>
      </c>
    </row>
    <row r="656" spans="2:10" x14ac:dyDescent="0.2">
      <c r="B656" s="4">
        <v>42780</v>
      </c>
      <c r="C656" s="8" t="s">
        <v>263</v>
      </c>
      <c r="D656" s="1">
        <v>3</v>
      </c>
      <c r="E656" s="9" t="s">
        <v>114</v>
      </c>
      <c r="F656" s="22">
        <v>58</v>
      </c>
      <c r="G656" s="22">
        <v>134</v>
      </c>
      <c r="H656" s="1" t="str">
        <f t="shared" si="12"/>
        <v>Tue</v>
      </c>
      <c r="I656" s="8" t="s">
        <v>218</v>
      </c>
      <c r="J656" s="1">
        <v>60</v>
      </c>
    </row>
    <row r="657" spans="2:10" x14ac:dyDescent="0.2">
      <c r="B657" s="4">
        <v>42781</v>
      </c>
      <c r="C657" s="8" t="s">
        <v>253</v>
      </c>
      <c r="D657" s="1">
        <v>6</v>
      </c>
      <c r="E657" s="9" t="s">
        <v>265</v>
      </c>
      <c r="F657" s="22">
        <v>239</v>
      </c>
      <c r="G657" s="22">
        <v>117</v>
      </c>
      <c r="H657" s="1" t="str">
        <f t="shared" si="12"/>
        <v>Wed</v>
      </c>
      <c r="I657" s="8" t="s">
        <v>218</v>
      </c>
      <c r="J657" s="1">
        <v>60</v>
      </c>
    </row>
    <row r="658" spans="2:10" x14ac:dyDescent="0.2">
      <c r="B658" s="4">
        <v>42782</v>
      </c>
      <c r="C658" s="8" t="s">
        <v>263</v>
      </c>
      <c r="D658" s="1">
        <v>3</v>
      </c>
      <c r="E658" s="9" t="s">
        <v>119</v>
      </c>
      <c r="F658" s="22">
        <v>10</v>
      </c>
      <c r="G658" s="22">
        <v>130</v>
      </c>
      <c r="H658" s="1" t="str">
        <f t="shared" si="12"/>
        <v>Thu</v>
      </c>
      <c r="I658" s="8" t="s">
        <v>218</v>
      </c>
      <c r="J658" s="1">
        <v>60</v>
      </c>
    </row>
    <row r="659" spans="2:10" x14ac:dyDescent="0.2">
      <c r="B659" s="4">
        <v>42783</v>
      </c>
      <c r="C659" s="8" t="s">
        <v>253</v>
      </c>
      <c r="D659" s="1">
        <v>5</v>
      </c>
      <c r="E659" s="9" t="s">
        <v>66</v>
      </c>
      <c r="F659" s="22">
        <v>73</v>
      </c>
      <c r="G659" s="22">
        <v>114</v>
      </c>
      <c r="H659" s="1" t="str">
        <f t="shared" si="12"/>
        <v>Fri</v>
      </c>
      <c r="I659" s="8" t="s">
        <v>218</v>
      </c>
      <c r="J659" s="1">
        <v>60</v>
      </c>
    </row>
    <row r="660" spans="2:10" x14ac:dyDescent="0.2">
      <c r="B660" s="4">
        <v>42784</v>
      </c>
      <c r="C660" s="8" t="s">
        <v>263</v>
      </c>
      <c r="D660" s="1">
        <v>12</v>
      </c>
      <c r="E660" s="9" t="s">
        <v>225</v>
      </c>
      <c r="F660" s="22">
        <v>210</v>
      </c>
      <c r="G660" s="22">
        <v>126</v>
      </c>
      <c r="H660" s="1" t="str">
        <f t="shared" si="12"/>
        <v>Sat</v>
      </c>
      <c r="I660" s="8" t="s">
        <v>218</v>
      </c>
      <c r="J660" s="1">
        <v>60</v>
      </c>
    </row>
    <row r="661" spans="2:10" x14ac:dyDescent="0.2">
      <c r="B661" s="4">
        <v>42786</v>
      </c>
      <c r="C661" s="8" t="s">
        <v>266</v>
      </c>
      <c r="D661" s="1">
        <v>5</v>
      </c>
      <c r="E661" s="9" t="s">
        <v>118</v>
      </c>
      <c r="F661" s="22">
        <v>140</v>
      </c>
      <c r="G661" s="22">
        <v>127</v>
      </c>
      <c r="H661" s="1" t="str">
        <f t="shared" si="12"/>
        <v>Mon</v>
      </c>
      <c r="I661" s="8" t="s">
        <v>219</v>
      </c>
      <c r="J661" s="1">
        <v>60</v>
      </c>
    </row>
    <row r="662" spans="2:10" x14ac:dyDescent="0.2">
      <c r="B662" s="4">
        <v>42789</v>
      </c>
      <c r="C662" s="8" t="s">
        <v>263</v>
      </c>
      <c r="D662" s="1">
        <v>4</v>
      </c>
      <c r="E662" s="9" t="s">
        <v>86</v>
      </c>
      <c r="F662" s="22">
        <v>121</v>
      </c>
      <c r="G662" s="22">
        <v>136</v>
      </c>
      <c r="H662" s="1" t="str">
        <f t="shared" si="12"/>
        <v>Thu</v>
      </c>
      <c r="I662" s="8" t="s">
        <v>219</v>
      </c>
      <c r="J662" s="1">
        <v>60</v>
      </c>
    </row>
    <row r="663" spans="2:10" x14ac:dyDescent="0.2">
      <c r="B663" s="4">
        <v>42790</v>
      </c>
      <c r="C663" s="8" t="s">
        <v>253</v>
      </c>
      <c r="D663" s="1">
        <v>6</v>
      </c>
      <c r="E663" s="9" t="s">
        <v>121</v>
      </c>
      <c r="F663" s="22">
        <v>80</v>
      </c>
      <c r="G663" s="22">
        <v>115</v>
      </c>
      <c r="H663" s="1" t="str">
        <f t="shared" si="12"/>
        <v>Fri</v>
      </c>
      <c r="I663" s="8" t="s">
        <v>219</v>
      </c>
      <c r="J663" s="1">
        <v>60</v>
      </c>
    </row>
    <row r="664" spans="2:10" x14ac:dyDescent="0.2">
      <c r="B664" s="4">
        <v>42791</v>
      </c>
      <c r="C664" s="8" t="s">
        <v>263</v>
      </c>
      <c r="D664" s="1">
        <v>14</v>
      </c>
      <c r="E664" s="9" t="s">
        <v>268</v>
      </c>
      <c r="F664" s="22">
        <v>308</v>
      </c>
      <c r="G664" s="22">
        <v>121</v>
      </c>
      <c r="H664" s="1" t="str">
        <f t="shared" si="12"/>
        <v>Sat</v>
      </c>
      <c r="I664" s="8" t="s">
        <v>219</v>
      </c>
      <c r="J664" s="1">
        <v>60</v>
      </c>
    </row>
    <row r="665" spans="2:10" x14ac:dyDescent="0.2">
      <c r="B665" s="4">
        <v>42793</v>
      </c>
      <c r="C665" s="8" t="s">
        <v>253</v>
      </c>
      <c r="D665" s="1">
        <v>3</v>
      </c>
      <c r="E665" s="9" t="s">
        <v>101</v>
      </c>
      <c r="F665" s="22">
        <v>125</v>
      </c>
      <c r="G665" s="22">
        <v>164</v>
      </c>
      <c r="H665" s="1" t="str">
        <f t="shared" si="12"/>
        <v>Mon</v>
      </c>
      <c r="I665" s="8" t="s">
        <v>220</v>
      </c>
      <c r="J665" s="1">
        <v>60</v>
      </c>
    </row>
    <row r="666" spans="2:10" x14ac:dyDescent="0.2">
      <c r="B666" s="4">
        <v>42794</v>
      </c>
      <c r="C666" s="8" t="s">
        <v>263</v>
      </c>
      <c r="D666" s="1">
        <v>3</v>
      </c>
      <c r="E666" s="9" t="s">
        <v>118</v>
      </c>
      <c r="F666" s="22">
        <v>44</v>
      </c>
      <c r="G666" s="22">
        <v>134</v>
      </c>
      <c r="H666" s="1" t="str">
        <f t="shared" si="12"/>
        <v>Tue</v>
      </c>
      <c r="I666" s="8" t="s">
        <v>220</v>
      </c>
      <c r="J666" s="1">
        <v>60</v>
      </c>
    </row>
    <row r="667" spans="2:10" x14ac:dyDescent="0.2">
      <c r="B667" s="4">
        <v>42795</v>
      </c>
      <c r="C667" s="8" t="s">
        <v>253</v>
      </c>
      <c r="D667" s="1">
        <v>4</v>
      </c>
      <c r="E667" s="9" t="s">
        <v>97</v>
      </c>
      <c r="F667" s="22">
        <v>102</v>
      </c>
      <c r="G667" s="22">
        <v>127</v>
      </c>
      <c r="H667" s="1" t="str">
        <f t="shared" si="12"/>
        <v>Wed</v>
      </c>
      <c r="I667" s="8" t="s">
        <v>220</v>
      </c>
      <c r="J667" s="1">
        <v>60</v>
      </c>
    </row>
    <row r="668" spans="2:10" x14ac:dyDescent="0.2">
      <c r="B668" s="4">
        <v>42796</v>
      </c>
      <c r="C668" s="8" t="s">
        <v>263</v>
      </c>
      <c r="D668" s="1">
        <v>3</v>
      </c>
      <c r="E668" s="9" t="s">
        <v>51</v>
      </c>
      <c r="F668" s="22">
        <v>21</v>
      </c>
      <c r="G668" s="22">
        <v>142</v>
      </c>
      <c r="H668" s="1" t="str">
        <f t="shared" si="12"/>
        <v>Thu</v>
      </c>
      <c r="I668" s="8" t="s">
        <v>220</v>
      </c>
      <c r="J668" s="1">
        <v>60</v>
      </c>
    </row>
    <row r="669" spans="2:10" x14ac:dyDescent="0.2">
      <c r="B669" s="4">
        <v>42797</v>
      </c>
      <c r="C669" s="8" t="s">
        <v>253</v>
      </c>
      <c r="D669" s="1">
        <v>4</v>
      </c>
      <c r="E669" s="9"/>
      <c r="H669" s="1" t="str">
        <f t="shared" si="12"/>
        <v>Fri</v>
      </c>
      <c r="I669" s="8" t="s">
        <v>220</v>
      </c>
      <c r="J669" s="1">
        <v>60</v>
      </c>
    </row>
    <row r="670" spans="2:10" x14ac:dyDescent="0.2">
      <c r="B670" s="4">
        <v>42798</v>
      </c>
      <c r="C670" s="8" t="s">
        <v>266</v>
      </c>
      <c r="D670" s="1">
        <v>10</v>
      </c>
      <c r="E670" s="9" t="s">
        <v>65</v>
      </c>
      <c r="F670" s="22">
        <v>203</v>
      </c>
      <c r="G670" s="22">
        <v>129</v>
      </c>
      <c r="H670" s="1" t="str">
        <f t="shared" si="12"/>
        <v>Sat</v>
      </c>
      <c r="I670" s="8" t="s">
        <v>220</v>
      </c>
      <c r="J670" s="1">
        <v>60</v>
      </c>
    </row>
    <row r="671" spans="2:10" x14ac:dyDescent="0.2">
      <c r="B671" s="4">
        <v>42800</v>
      </c>
      <c r="C671" s="8" t="s">
        <v>263</v>
      </c>
      <c r="D671" s="1">
        <v>6</v>
      </c>
      <c r="E671" s="9" t="s">
        <v>14</v>
      </c>
      <c r="F671" s="22">
        <v>99</v>
      </c>
      <c r="G671" s="22">
        <v>123</v>
      </c>
      <c r="H671" s="1" t="str">
        <f t="shared" si="12"/>
        <v>Mon</v>
      </c>
      <c r="I671" s="8" t="s">
        <v>217</v>
      </c>
      <c r="J671" s="1">
        <v>60</v>
      </c>
    </row>
    <row r="672" spans="2:10" x14ac:dyDescent="0.2">
      <c r="B672" s="4">
        <v>42801</v>
      </c>
      <c r="C672" s="8" t="s">
        <v>253</v>
      </c>
      <c r="D672" s="1">
        <v>3</v>
      </c>
      <c r="E672" s="9" t="s">
        <v>255</v>
      </c>
      <c r="F672" s="22">
        <v>42</v>
      </c>
      <c r="G672" s="22">
        <v>143</v>
      </c>
      <c r="H672" s="1" t="str">
        <f t="shared" si="12"/>
        <v>Tue</v>
      </c>
      <c r="I672" s="8" t="s">
        <v>217</v>
      </c>
      <c r="J672" s="1">
        <v>60</v>
      </c>
    </row>
    <row r="673" spans="2:10" x14ac:dyDescent="0.2">
      <c r="B673" s="4">
        <v>42802</v>
      </c>
      <c r="C673" s="8" t="s">
        <v>263</v>
      </c>
      <c r="D673" s="1">
        <v>6</v>
      </c>
      <c r="E673" s="9" t="s">
        <v>261</v>
      </c>
      <c r="F673" s="22">
        <v>200</v>
      </c>
      <c r="G673" s="22">
        <v>141</v>
      </c>
      <c r="H673" s="1" t="str">
        <f t="shared" si="12"/>
        <v>Wed</v>
      </c>
      <c r="I673" s="8" t="s">
        <v>217</v>
      </c>
      <c r="J673" s="1">
        <v>60</v>
      </c>
    </row>
    <row r="674" spans="2:10" x14ac:dyDescent="0.2">
      <c r="B674" s="4">
        <v>42803</v>
      </c>
      <c r="C674" s="8" t="s">
        <v>253</v>
      </c>
      <c r="D674" s="1">
        <v>5</v>
      </c>
      <c r="E674" s="9" t="s">
        <v>269</v>
      </c>
      <c r="F674" s="22">
        <v>144</v>
      </c>
      <c r="G674" s="22">
        <v>154</v>
      </c>
      <c r="H674" s="1" t="str">
        <f t="shared" si="12"/>
        <v>Thu</v>
      </c>
      <c r="I674" s="8" t="s">
        <v>217</v>
      </c>
      <c r="J674" s="1">
        <v>60</v>
      </c>
    </row>
    <row r="675" spans="2:10" x14ac:dyDescent="0.2">
      <c r="B675" s="4">
        <v>42805</v>
      </c>
      <c r="C675" s="8" t="s">
        <v>266</v>
      </c>
      <c r="D675" s="1">
        <v>16</v>
      </c>
      <c r="E675" s="9" t="s">
        <v>129</v>
      </c>
      <c r="F675" s="22">
        <v>449</v>
      </c>
      <c r="G675" s="22">
        <v>138</v>
      </c>
      <c r="H675" s="1" t="str">
        <f t="shared" si="12"/>
        <v>Sat</v>
      </c>
      <c r="I675" s="8" t="s">
        <v>217</v>
      </c>
      <c r="J675" s="1">
        <v>60</v>
      </c>
    </row>
    <row r="676" spans="2:10" x14ac:dyDescent="0.2">
      <c r="B676" s="4">
        <v>42807</v>
      </c>
      <c r="C676" s="8" t="s">
        <v>263</v>
      </c>
      <c r="D676" s="1">
        <v>6</v>
      </c>
      <c r="E676" s="9" t="s">
        <v>86</v>
      </c>
      <c r="F676" s="22">
        <v>156</v>
      </c>
      <c r="G676" s="22">
        <v>177</v>
      </c>
      <c r="H676" s="1" t="str">
        <f t="shared" si="12"/>
        <v>Mon</v>
      </c>
      <c r="I676" s="8" t="s">
        <v>218</v>
      </c>
      <c r="J676" s="1">
        <v>60</v>
      </c>
    </row>
    <row r="677" spans="2:10" x14ac:dyDescent="0.2">
      <c r="B677" s="4">
        <v>42808</v>
      </c>
      <c r="C677" s="8" t="s">
        <v>253</v>
      </c>
      <c r="D677" s="1">
        <v>3</v>
      </c>
      <c r="E677" s="9" t="s">
        <v>66</v>
      </c>
      <c r="F677" s="22">
        <v>49</v>
      </c>
      <c r="G677" s="22">
        <v>175</v>
      </c>
      <c r="H677" s="1" t="str">
        <f t="shared" si="12"/>
        <v>Tue</v>
      </c>
      <c r="I677" s="8" t="s">
        <v>218</v>
      </c>
      <c r="J677" s="1">
        <v>60</v>
      </c>
    </row>
    <row r="678" spans="2:10" x14ac:dyDescent="0.2">
      <c r="B678" s="4">
        <v>42809</v>
      </c>
      <c r="C678" s="8" t="s">
        <v>263</v>
      </c>
      <c r="D678" s="1">
        <v>6</v>
      </c>
      <c r="E678" s="9" t="s">
        <v>20</v>
      </c>
      <c r="F678" s="22">
        <v>246</v>
      </c>
      <c r="G678" s="22">
        <v>154</v>
      </c>
      <c r="H678" s="1" t="str">
        <f t="shared" si="12"/>
        <v>Wed</v>
      </c>
      <c r="I678" s="8" t="s">
        <v>218</v>
      </c>
      <c r="J678" s="1">
        <v>60</v>
      </c>
    </row>
    <row r="679" spans="2:10" x14ac:dyDescent="0.2">
      <c r="B679" s="4">
        <v>42810</v>
      </c>
      <c r="C679" s="8" t="s">
        <v>253</v>
      </c>
      <c r="D679" s="1">
        <v>3</v>
      </c>
      <c r="E679" s="9" t="s">
        <v>137</v>
      </c>
      <c r="F679" s="22">
        <v>10</v>
      </c>
      <c r="G679" s="22">
        <v>162</v>
      </c>
      <c r="H679" s="1" t="str">
        <f t="shared" si="12"/>
        <v>Thu</v>
      </c>
      <c r="I679" s="8" t="s">
        <v>218</v>
      </c>
      <c r="J679" s="1">
        <v>60</v>
      </c>
    </row>
    <row r="680" spans="2:10" x14ac:dyDescent="0.2">
      <c r="B680" s="4">
        <v>42811</v>
      </c>
      <c r="C680" s="8" t="s">
        <v>263</v>
      </c>
      <c r="D680" s="1">
        <v>5</v>
      </c>
      <c r="E680" s="9" t="s">
        <v>128</v>
      </c>
      <c r="F680" s="22">
        <v>140</v>
      </c>
      <c r="G680" s="22">
        <v>163</v>
      </c>
      <c r="H680" s="1" t="str">
        <f t="shared" si="12"/>
        <v>Fri</v>
      </c>
      <c r="I680" s="8" t="s">
        <v>218</v>
      </c>
      <c r="J680" s="1">
        <v>60</v>
      </c>
    </row>
    <row r="681" spans="2:10" x14ac:dyDescent="0.2">
      <c r="B681" s="4">
        <v>42812</v>
      </c>
      <c r="C681" s="8" t="s">
        <v>266</v>
      </c>
      <c r="D681" s="1">
        <v>18</v>
      </c>
      <c r="E681" s="9" t="s">
        <v>120</v>
      </c>
      <c r="F681" s="22">
        <v>679</v>
      </c>
      <c r="G681" s="22">
        <v>153</v>
      </c>
      <c r="H681" s="1" t="str">
        <f t="shared" si="12"/>
        <v>Sat</v>
      </c>
      <c r="I681" s="8" t="s">
        <v>218</v>
      </c>
      <c r="J681" s="1">
        <v>60</v>
      </c>
    </row>
    <row r="682" spans="2:10" x14ac:dyDescent="0.2">
      <c r="B682" s="4">
        <v>42814</v>
      </c>
      <c r="C682" s="8" t="s">
        <v>253</v>
      </c>
      <c r="D682" s="1">
        <v>4</v>
      </c>
      <c r="E682" s="9" t="s">
        <v>57</v>
      </c>
      <c r="F682" s="22">
        <v>68</v>
      </c>
      <c r="G682" s="22">
        <v>141</v>
      </c>
      <c r="H682" s="1" t="str">
        <f t="shared" si="12"/>
        <v>Mon</v>
      </c>
      <c r="I682" s="8" t="s">
        <v>220</v>
      </c>
      <c r="J682" s="1">
        <v>60</v>
      </c>
    </row>
    <row r="683" spans="2:10" x14ac:dyDescent="0.2">
      <c r="B683" s="4">
        <v>42815</v>
      </c>
      <c r="C683" s="8" t="s">
        <v>263</v>
      </c>
      <c r="D683" s="1">
        <v>3</v>
      </c>
      <c r="E683" s="9" t="s">
        <v>255</v>
      </c>
      <c r="F683" s="22">
        <v>48</v>
      </c>
      <c r="G683" s="22">
        <v>155</v>
      </c>
      <c r="H683" s="1" t="str">
        <f t="shared" si="12"/>
        <v>Tue</v>
      </c>
      <c r="I683" s="8" t="s">
        <v>220</v>
      </c>
      <c r="J683" s="1">
        <v>60</v>
      </c>
    </row>
    <row r="684" spans="2:10" x14ac:dyDescent="0.2">
      <c r="B684" s="4">
        <v>42816</v>
      </c>
      <c r="C684" s="8" t="s">
        <v>253</v>
      </c>
      <c r="D684" s="1">
        <v>4</v>
      </c>
      <c r="E684" s="9" t="s">
        <v>18</v>
      </c>
      <c r="F684" s="22">
        <v>101</v>
      </c>
      <c r="G684" s="22">
        <v>149</v>
      </c>
      <c r="H684" s="1" t="str">
        <f t="shared" si="12"/>
        <v>Wed</v>
      </c>
      <c r="I684" s="8" t="s">
        <v>220</v>
      </c>
      <c r="J684" s="1">
        <v>60</v>
      </c>
    </row>
    <row r="685" spans="2:10" x14ac:dyDescent="0.2">
      <c r="B685" s="4">
        <v>42817</v>
      </c>
      <c r="C685" s="8" t="s">
        <v>263</v>
      </c>
      <c r="D685" s="1">
        <v>3</v>
      </c>
      <c r="E685" s="9" t="s">
        <v>61</v>
      </c>
      <c r="F685" s="22">
        <v>6</v>
      </c>
      <c r="G685" s="22">
        <v>162</v>
      </c>
      <c r="H685" s="1" t="str">
        <f t="shared" si="12"/>
        <v>Thu</v>
      </c>
      <c r="I685" s="8" t="s">
        <v>220</v>
      </c>
      <c r="J685" s="1">
        <v>60</v>
      </c>
    </row>
    <row r="686" spans="2:10" x14ac:dyDescent="0.2">
      <c r="B686" s="4">
        <v>42818</v>
      </c>
      <c r="C686" s="8" t="s">
        <v>253</v>
      </c>
      <c r="D686" s="1">
        <v>4</v>
      </c>
      <c r="E686" s="9" t="s">
        <v>73</v>
      </c>
      <c r="F686" s="22">
        <v>133</v>
      </c>
      <c r="G686" s="22">
        <v>143</v>
      </c>
      <c r="H686" s="1" t="str">
        <f t="shared" si="12"/>
        <v>Fri</v>
      </c>
      <c r="I686" s="8" t="s">
        <v>220</v>
      </c>
      <c r="J686" s="1">
        <v>60</v>
      </c>
    </row>
    <row r="687" spans="2:10" x14ac:dyDescent="0.2">
      <c r="B687" s="4">
        <v>42819</v>
      </c>
      <c r="C687" s="8" t="s">
        <v>263</v>
      </c>
      <c r="D687" s="1">
        <v>10</v>
      </c>
      <c r="E687" s="9" t="s">
        <v>265</v>
      </c>
      <c r="F687" s="22">
        <v>676</v>
      </c>
      <c r="G687" s="22">
        <v>142</v>
      </c>
      <c r="H687" s="1" t="str">
        <f t="shared" si="12"/>
        <v>Sat</v>
      </c>
      <c r="I687" s="8" t="s">
        <v>220</v>
      </c>
      <c r="J687" s="1">
        <v>60</v>
      </c>
    </row>
    <row r="688" spans="2:10" x14ac:dyDescent="0.2">
      <c r="B688" s="4">
        <v>42821</v>
      </c>
      <c r="C688" s="8" t="s">
        <v>263</v>
      </c>
      <c r="D688" s="1">
        <v>6</v>
      </c>
      <c r="E688" s="9" t="s">
        <v>154</v>
      </c>
      <c r="F688" s="22">
        <v>102</v>
      </c>
      <c r="G688" s="22">
        <v>168</v>
      </c>
      <c r="H688" s="1" t="str">
        <f t="shared" si="12"/>
        <v>Mon</v>
      </c>
      <c r="I688" s="8" t="s">
        <v>217</v>
      </c>
      <c r="J688" s="1">
        <v>60</v>
      </c>
    </row>
    <row r="689" spans="2:10" x14ac:dyDescent="0.2">
      <c r="B689" s="4">
        <v>42822</v>
      </c>
      <c r="C689" s="8" t="s">
        <v>253</v>
      </c>
      <c r="D689" s="1">
        <v>3</v>
      </c>
      <c r="E689" s="9" t="s">
        <v>154</v>
      </c>
      <c r="F689" s="22">
        <v>40</v>
      </c>
      <c r="G689" s="22">
        <v>153</v>
      </c>
      <c r="H689" s="1" t="str">
        <f t="shared" si="12"/>
        <v>Tue</v>
      </c>
      <c r="I689" s="8" t="s">
        <v>217</v>
      </c>
      <c r="J689" s="1">
        <v>60</v>
      </c>
    </row>
    <row r="690" spans="2:10" x14ac:dyDescent="0.2">
      <c r="B690" s="4">
        <v>42823</v>
      </c>
      <c r="C690" s="8" t="s">
        <v>263</v>
      </c>
      <c r="D690" s="1">
        <v>6</v>
      </c>
      <c r="E690" s="9" t="s">
        <v>121</v>
      </c>
      <c r="F690" s="22">
        <v>252</v>
      </c>
      <c r="G690" s="22">
        <v>154</v>
      </c>
      <c r="H690" s="1" t="str">
        <f t="shared" si="12"/>
        <v>Wed</v>
      </c>
      <c r="I690" s="8" t="s">
        <v>217</v>
      </c>
      <c r="J690" s="1">
        <v>60</v>
      </c>
    </row>
    <row r="691" spans="2:10" x14ac:dyDescent="0.2">
      <c r="B691" s="4">
        <v>42824</v>
      </c>
      <c r="C691" s="8" t="s">
        <v>253</v>
      </c>
      <c r="D691" s="1">
        <v>3</v>
      </c>
      <c r="E691" s="9" t="s">
        <v>54</v>
      </c>
      <c r="F691" s="22">
        <v>10</v>
      </c>
      <c r="G691" s="22">
        <v>140</v>
      </c>
      <c r="H691" s="1" t="str">
        <f t="shared" si="12"/>
        <v>Thu</v>
      </c>
      <c r="I691" s="8" t="s">
        <v>217</v>
      </c>
      <c r="J691" s="1">
        <v>60</v>
      </c>
    </row>
    <row r="692" spans="2:10" x14ac:dyDescent="0.2">
      <c r="B692" s="4">
        <v>42825</v>
      </c>
      <c r="C692" s="8" t="s">
        <v>263</v>
      </c>
      <c r="D692" s="1">
        <v>6</v>
      </c>
      <c r="E692" s="9" t="s">
        <v>98</v>
      </c>
      <c r="F692" s="22">
        <v>236</v>
      </c>
      <c r="G692" s="22">
        <v>137</v>
      </c>
      <c r="H692" s="1" t="str">
        <f t="shared" si="12"/>
        <v>Fri</v>
      </c>
      <c r="I692" s="8" t="s">
        <v>217</v>
      </c>
      <c r="J692" s="1">
        <v>60</v>
      </c>
    </row>
    <row r="693" spans="2:10" x14ac:dyDescent="0.2">
      <c r="B693" s="4">
        <v>42826</v>
      </c>
      <c r="C693" s="8" t="s">
        <v>266</v>
      </c>
      <c r="D693" s="1">
        <v>20</v>
      </c>
      <c r="E693" s="9" t="s">
        <v>137</v>
      </c>
      <c r="F693" s="22">
        <v>644</v>
      </c>
      <c r="G693" s="22">
        <v>159</v>
      </c>
      <c r="H693" s="1" t="str">
        <f t="shared" si="12"/>
        <v>Sat</v>
      </c>
      <c r="I693" s="8" t="s">
        <v>217</v>
      </c>
      <c r="J693" s="1">
        <v>60</v>
      </c>
    </row>
    <row r="694" spans="2:10" x14ac:dyDescent="0.2">
      <c r="B694" s="4">
        <v>42828</v>
      </c>
      <c r="C694" s="8" t="s">
        <v>253</v>
      </c>
      <c r="D694" s="1">
        <v>6</v>
      </c>
      <c r="E694" s="9" t="s">
        <v>115</v>
      </c>
      <c r="F694" s="22">
        <v>94</v>
      </c>
      <c r="G694" s="22">
        <v>176</v>
      </c>
      <c r="H694" s="1" t="str">
        <f t="shared" si="12"/>
        <v>Mon</v>
      </c>
      <c r="I694" s="8" t="s">
        <v>218</v>
      </c>
      <c r="J694" s="1">
        <v>60</v>
      </c>
    </row>
    <row r="695" spans="2:10" x14ac:dyDescent="0.2">
      <c r="B695" s="4">
        <v>42829</v>
      </c>
      <c r="C695" s="8" t="s">
        <v>263</v>
      </c>
      <c r="D695" s="1">
        <v>3</v>
      </c>
      <c r="E695" s="9" t="s">
        <v>115</v>
      </c>
      <c r="F695" s="22">
        <v>51</v>
      </c>
      <c r="G695" s="22">
        <v>163</v>
      </c>
      <c r="H695" s="1" t="str">
        <f t="shared" si="12"/>
        <v>Tue</v>
      </c>
      <c r="I695" s="8" t="s">
        <v>218</v>
      </c>
      <c r="J695" s="1">
        <v>60</v>
      </c>
    </row>
    <row r="696" spans="2:10" x14ac:dyDescent="0.2">
      <c r="B696" s="4">
        <v>42830</v>
      </c>
      <c r="C696" s="8" t="s">
        <v>253</v>
      </c>
      <c r="D696" s="1">
        <v>6</v>
      </c>
      <c r="E696" s="9" t="s">
        <v>124</v>
      </c>
      <c r="F696" s="22">
        <v>212</v>
      </c>
      <c r="G696" s="22">
        <v>150</v>
      </c>
      <c r="H696" s="1" t="str">
        <f t="shared" si="12"/>
        <v>Wed</v>
      </c>
      <c r="I696" s="8" t="s">
        <v>218</v>
      </c>
      <c r="J696" s="1">
        <v>60</v>
      </c>
    </row>
    <row r="697" spans="2:10" x14ac:dyDescent="0.2">
      <c r="B697" s="4">
        <v>42831</v>
      </c>
      <c r="C697" s="8" t="s">
        <v>263</v>
      </c>
      <c r="D697" s="1">
        <v>3</v>
      </c>
      <c r="E697" s="9" t="s">
        <v>129</v>
      </c>
      <c r="F697" s="22">
        <v>0</v>
      </c>
      <c r="G697" s="22">
        <v>151</v>
      </c>
      <c r="H697" s="1" t="str">
        <f t="shared" si="12"/>
        <v>Thu</v>
      </c>
      <c r="I697" s="8" t="s">
        <v>218</v>
      </c>
      <c r="J697" s="1">
        <v>60</v>
      </c>
    </row>
    <row r="698" spans="2:10" x14ac:dyDescent="0.2">
      <c r="B698" s="4">
        <v>42832</v>
      </c>
      <c r="C698" s="8" t="s">
        <v>253</v>
      </c>
      <c r="D698" s="1">
        <v>6</v>
      </c>
      <c r="E698" s="9" t="s">
        <v>105</v>
      </c>
      <c r="F698" s="22">
        <v>280</v>
      </c>
      <c r="G698" s="22">
        <v>154</v>
      </c>
      <c r="H698" s="1" t="str">
        <f t="shared" si="12"/>
        <v>Fri</v>
      </c>
      <c r="I698" s="8" t="s">
        <v>218</v>
      </c>
      <c r="J698" s="1">
        <v>60</v>
      </c>
    </row>
    <row r="699" spans="2:10" x14ac:dyDescent="0.2">
      <c r="B699" s="4">
        <v>42833</v>
      </c>
      <c r="C699" s="8" t="s">
        <v>266</v>
      </c>
      <c r="D699" s="1">
        <v>20</v>
      </c>
      <c r="E699" s="9" t="s">
        <v>270</v>
      </c>
      <c r="F699" s="22">
        <v>496</v>
      </c>
      <c r="G699" s="22">
        <v>163</v>
      </c>
      <c r="H699" s="1" t="str">
        <f t="shared" si="12"/>
        <v>Sat</v>
      </c>
      <c r="I699" s="8" t="s">
        <v>218</v>
      </c>
      <c r="J699" s="1">
        <v>60</v>
      </c>
    </row>
    <row r="700" spans="2:10" x14ac:dyDescent="0.2">
      <c r="B700" s="4">
        <v>42835</v>
      </c>
      <c r="C700" s="8" t="s">
        <v>263</v>
      </c>
      <c r="D700" s="1">
        <v>6</v>
      </c>
      <c r="E700" s="9" t="s">
        <v>255</v>
      </c>
      <c r="F700" s="22">
        <v>86</v>
      </c>
      <c r="G700" s="22">
        <v>153</v>
      </c>
      <c r="H700" s="1" t="str">
        <f t="shared" si="12"/>
        <v>Mon</v>
      </c>
      <c r="I700" s="8" t="s">
        <v>220</v>
      </c>
      <c r="J700" s="1">
        <v>60</v>
      </c>
    </row>
    <row r="701" spans="2:10" x14ac:dyDescent="0.2">
      <c r="B701" s="4">
        <v>42836</v>
      </c>
      <c r="C701" s="8" t="s">
        <v>253</v>
      </c>
      <c r="D701" s="1">
        <v>3</v>
      </c>
      <c r="E701" s="9" t="s">
        <v>154</v>
      </c>
      <c r="F701" s="22">
        <v>92</v>
      </c>
      <c r="G701" s="22">
        <v>166</v>
      </c>
      <c r="H701" s="1" t="str">
        <f t="shared" si="12"/>
        <v>Tue</v>
      </c>
      <c r="I701" s="8" t="s">
        <v>220</v>
      </c>
      <c r="J701" s="1">
        <v>60</v>
      </c>
    </row>
    <row r="702" spans="2:10" x14ac:dyDescent="0.2">
      <c r="B702" s="4">
        <v>42837</v>
      </c>
      <c r="C702" s="8" t="s">
        <v>263</v>
      </c>
      <c r="D702" s="1">
        <v>6</v>
      </c>
      <c r="E702" s="9" t="s">
        <v>127</v>
      </c>
      <c r="F702" s="22">
        <v>237</v>
      </c>
      <c r="G702" s="22">
        <v>171</v>
      </c>
      <c r="H702" s="1" t="str">
        <f t="shared" si="12"/>
        <v>Wed</v>
      </c>
      <c r="I702" s="8" t="s">
        <v>220</v>
      </c>
      <c r="J702" s="1">
        <v>60</v>
      </c>
    </row>
    <row r="703" spans="2:10" x14ac:dyDescent="0.2">
      <c r="B703" s="4">
        <v>42838</v>
      </c>
      <c r="C703" s="8" t="s">
        <v>253</v>
      </c>
      <c r="D703" s="1">
        <v>3</v>
      </c>
      <c r="E703" s="9" t="s">
        <v>261</v>
      </c>
      <c r="F703" s="22">
        <v>11</v>
      </c>
      <c r="G703" s="22">
        <v>165</v>
      </c>
      <c r="H703" s="1" t="str">
        <f t="shared" si="12"/>
        <v>Thu</v>
      </c>
      <c r="I703" s="8" t="s">
        <v>220</v>
      </c>
      <c r="J703" s="1">
        <v>60</v>
      </c>
    </row>
    <row r="704" spans="2:10" x14ac:dyDescent="0.2">
      <c r="B704" s="4">
        <v>42839</v>
      </c>
      <c r="C704" s="8" t="s">
        <v>263</v>
      </c>
      <c r="D704" s="1">
        <v>6</v>
      </c>
      <c r="E704" s="9" t="s">
        <v>61</v>
      </c>
      <c r="F704" s="22">
        <v>111</v>
      </c>
      <c r="G704" s="22">
        <v>158</v>
      </c>
      <c r="H704" s="1" t="str">
        <f t="shared" si="12"/>
        <v>Fri</v>
      </c>
      <c r="I704" s="8" t="s">
        <v>220</v>
      </c>
      <c r="J704" s="1">
        <v>60</v>
      </c>
    </row>
    <row r="705" spans="2:12" x14ac:dyDescent="0.2">
      <c r="B705" s="4">
        <v>42840</v>
      </c>
      <c r="C705" s="8" t="s">
        <v>266</v>
      </c>
      <c r="D705" s="1">
        <v>12</v>
      </c>
      <c r="E705" s="9" t="s">
        <v>118</v>
      </c>
      <c r="F705" s="22">
        <v>314</v>
      </c>
      <c r="G705" s="22">
        <v>163</v>
      </c>
      <c r="H705" s="1" t="str">
        <f t="shared" si="12"/>
        <v>Sat</v>
      </c>
      <c r="I705" s="8" t="s">
        <v>220</v>
      </c>
      <c r="J705" s="1">
        <v>60</v>
      </c>
    </row>
    <row r="706" spans="2:12" x14ac:dyDescent="0.2">
      <c r="B706" s="4">
        <v>42842</v>
      </c>
      <c r="C706" s="8" t="s">
        <v>253</v>
      </c>
      <c r="D706" s="1">
        <v>5</v>
      </c>
      <c r="E706" s="9" t="s">
        <v>259</v>
      </c>
      <c r="F706" s="22">
        <v>79</v>
      </c>
      <c r="G706" s="22">
        <v>166</v>
      </c>
      <c r="H706" s="1" t="str">
        <f t="shared" ref="H706:H766" si="13">TEXT(B706,"ddd")</f>
        <v>Mon</v>
      </c>
      <c r="I706" s="8" t="s">
        <v>271</v>
      </c>
      <c r="J706" s="1">
        <v>60</v>
      </c>
    </row>
    <row r="707" spans="2:12" x14ac:dyDescent="0.2">
      <c r="B707" s="4">
        <v>42844</v>
      </c>
      <c r="C707" s="8" t="s">
        <v>263</v>
      </c>
      <c r="D707" s="1">
        <v>5</v>
      </c>
      <c r="E707" s="9" t="s">
        <v>241</v>
      </c>
      <c r="F707" s="22">
        <v>133</v>
      </c>
      <c r="G707" s="22">
        <v>146</v>
      </c>
      <c r="H707" s="1" t="str">
        <f t="shared" si="13"/>
        <v>Wed</v>
      </c>
      <c r="I707" s="8" t="s">
        <v>271</v>
      </c>
      <c r="J707" s="1">
        <v>60</v>
      </c>
    </row>
    <row r="708" spans="2:12" x14ac:dyDescent="0.2">
      <c r="B708" s="4">
        <v>42846</v>
      </c>
      <c r="C708" s="8" t="s">
        <v>253</v>
      </c>
      <c r="D708" s="1">
        <v>5</v>
      </c>
      <c r="E708" s="9" t="s">
        <v>51</v>
      </c>
      <c r="F708" s="22">
        <v>150</v>
      </c>
      <c r="G708" s="22">
        <v>151</v>
      </c>
      <c r="H708" s="1" t="str">
        <f t="shared" si="13"/>
        <v>Fri</v>
      </c>
      <c r="I708" s="8" t="s">
        <v>271</v>
      </c>
      <c r="J708" s="1">
        <v>60</v>
      </c>
    </row>
    <row r="709" spans="2:12" x14ac:dyDescent="0.2">
      <c r="B709" s="4">
        <v>42847</v>
      </c>
      <c r="C709" s="8" t="s">
        <v>263</v>
      </c>
      <c r="D709" s="1">
        <v>8</v>
      </c>
      <c r="E709" s="9" t="s">
        <v>66</v>
      </c>
      <c r="F709" s="22">
        <v>114</v>
      </c>
      <c r="G709" s="22">
        <v>158</v>
      </c>
      <c r="H709" s="1" t="str">
        <f t="shared" si="13"/>
        <v>Sat</v>
      </c>
      <c r="I709" s="8" t="s">
        <v>271</v>
      </c>
      <c r="J709" s="1">
        <v>60</v>
      </c>
    </row>
    <row r="710" spans="2:12" x14ac:dyDescent="0.2">
      <c r="B710" s="4">
        <v>42849</v>
      </c>
      <c r="C710" s="8" t="s">
        <v>253</v>
      </c>
      <c r="D710" s="1">
        <v>4</v>
      </c>
      <c r="E710" s="9" t="s">
        <v>154</v>
      </c>
      <c r="F710" s="22">
        <v>61</v>
      </c>
      <c r="G710" s="22">
        <v>149</v>
      </c>
      <c r="H710" s="1" t="str">
        <f t="shared" si="13"/>
        <v>Mon</v>
      </c>
      <c r="I710" s="8" t="s">
        <v>272</v>
      </c>
      <c r="J710" s="1">
        <v>60</v>
      </c>
    </row>
    <row r="711" spans="2:12" x14ac:dyDescent="0.2">
      <c r="B711" s="4">
        <v>42850</v>
      </c>
      <c r="C711" s="8" t="s">
        <v>266</v>
      </c>
      <c r="D711" s="1">
        <v>4</v>
      </c>
      <c r="E711" s="9" t="s">
        <v>66</v>
      </c>
      <c r="F711" s="22">
        <v>46</v>
      </c>
      <c r="G711" s="22">
        <v>147</v>
      </c>
      <c r="H711" s="1" t="str">
        <f t="shared" si="13"/>
        <v>Tue</v>
      </c>
      <c r="I711" s="8" t="s">
        <v>272</v>
      </c>
      <c r="J711" s="1">
        <v>60</v>
      </c>
    </row>
    <row r="712" spans="2:12" x14ac:dyDescent="0.2">
      <c r="B712" s="4">
        <v>42852</v>
      </c>
      <c r="C712" s="8" t="s">
        <v>263</v>
      </c>
      <c r="D712" s="1">
        <v>4</v>
      </c>
      <c r="E712" s="9" t="s">
        <v>265</v>
      </c>
      <c r="F712" s="22">
        <v>135</v>
      </c>
      <c r="G712" s="22">
        <v>152</v>
      </c>
      <c r="H712" s="1" t="str">
        <f t="shared" si="13"/>
        <v>Thu</v>
      </c>
      <c r="I712" s="8" t="s">
        <v>272</v>
      </c>
      <c r="J712" s="1">
        <v>60</v>
      </c>
    </row>
    <row r="713" spans="2:12" x14ac:dyDescent="0.2">
      <c r="B713" s="4">
        <v>42854</v>
      </c>
      <c r="C713" s="8" t="s">
        <v>266</v>
      </c>
      <c r="D713" s="1">
        <v>26</v>
      </c>
      <c r="E713" s="9" t="s">
        <v>273</v>
      </c>
      <c r="F713" s="22">
        <v>986</v>
      </c>
      <c r="G713" s="22">
        <v>155</v>
      </c>
      <c r="H713" s="1" t="str">
        <f t="shared" si="13"/>
        <v>Sat</v>
      </c>
      <c r="I713" s="8" t="s">
        <v>272</v>
      </c>
      <c r="J713" s="1">
        <v>60</v>
      </c>
      <c r="K713" s="8" t="s">
        <v>274</v>
      </c>
      <c r="L713" s="1">
        <v>60</v>
      </c>
    </row>
    <row r="714" spans="2:12" x14ac:dyDescent="0.2">
      <c r="B714" s="4">
        <v>42859</v>
      </c>
      <c r="C714" s="8" t="s">
        <v>263</v>
      </c>
      <c r="D714" s="1">
        <v>4</v>
      </c>
      <c r="E714" s="9" t="s">
        <v>225</v>
      </c>
      <c r="F714" s="22">
        <v>134</v>
      </c>
      <c r="G714" s="22">
        <v>147</v>
      </c>
      <c r="H714" s="1" t="str">
        <f t="shared" si="13"/>
        <v>Thu</v>
      </c>
      <c r="I714" s="8" t="s">
        <v>220</v>
      </c>
      <c r="J714" s="1">
        <v>60</v>
      </c>
    </row>
    <row r="715" spans="2:12" x14ac:dyDescent="0.2">
      <c r="B715" s="4">
        <v>42863</v>
      </c>
      <c r="C715" s="8" t="s">
        <v>275</v>
      </c>
      <c r="D715" s="1">
        <v>6</v>
      </c>
      <c r="E715" s="9" t="s">
        <v>70</v>
      </c>
      <c r="F715" s="22">
        <v>98</v>
      </c>
      <c r="G715" s="22">
        <v>148</v>
      </c>
      <c r="H715" s="1" t="str">
        <f t="shared" si="13"/>
        <v>Mon</v>
      </c>
      <c r="I715" s="8" t="s">
        <v>271</v>
      </c>
      <c r="J715" s="1">
        <v>60</v>
      </c>
    </row>
    <row r="716" spans="2:12" x14ac:dyDescent="0.2">
      <c r="B716" s="4">
        <v>42865</v>
      </c>
      <c r="C716" s="8" t="s">
        <v>266</v>
      </c>
      <c r="D716" s="1">
        <v>6</v>
      </c>
      <c r="E716" s="9" t="s">
        <v>109</v>
      </c>
      <c r="F716" s="22">
        <v>168</v>
      </c>
      <c r="G716" s="22">
        <v>133</v>
      </c>
      <c r="H716" s="1" t="str">
        <f t="shared" si="13"/>
        <v>Wed</v>
      </c>
      <c r="I716" s="8" t="s">
        <v>271</v>
      </c>
      <c r="J716" s="1">
        <v>60</v>
      </c>
    </row>
    <row r="717" spans="2:12" x14ac:dyDescent="0.2">
      <c r="B717" s="4">
        <v>42867</v>
      </c>
      <c r="C717" s="8" t="s">
        <v>263</v>
      </c>
      <c r="D717" s="1">
        <v>6</v>
      </c>
      <c r="E717" s="9" t="s">
        <v>277</v>
      </c>
      <c r="F717" s="22">
        <v>246</v>
      </c>
      <c r="G717" s="22">
        <v>144</v>
      </c>
      <c r="H717" s="1" t="str">
        <f t="shared" si="13"/>
        <v>Fri</v>
      </c>
      <c r="I717" s="8" t="s">
        <v>271</v>
      </c>
      <c r="J717" s="1">
        <v>60</v>
      </c>
    </row>
    <row r="718" spans="2:12" x14ac:dyDescent="0.2">
      <c r="B718" s="4">
        <v>42868</v>
      </c>
      <c r="C718" s="8" t="s">
        <v>266</v>
      </c>
      <c r="D718" s="1">
        <v>6</v>
      </c>
      <c r="E718" s="9" t="s">
        <v>278</v>
      </c>
      <c r="F718" s="22">
        <v>193</v>
      </c>
      <c r="G718" s="22">
        <v>130</v>
      </c>
      <c r="H718" s="1" t="str">
        <f t="shared" si="13"/>
        <v>Sat</v>
      </c>
      <c r="I718" s="8" t="s">
        <v>271</v>
      </c>
      <c r="J718" s="1">
        <v>60</v>
      </c>
    </row>
    <row r="719" spans="2:12" x14ac:dyDescent="0.2">
      <c r="B719" s="4">
        <v>42870</v>
      </c>
      <c r="C719" s="8" t="s">
        <v>266</v>
      </c>
      <c r="D719" s="1">
        <v>7</v>
      </c>
      <c r="E719" s="9" t="s">
        <v>225</v>
      </c>
      <c r="F719" s="22">
        <v>245</v>
      </c>
      <c r="G719" s="22">
        <v>149</v>
      </c>
      <c r="H719" s="1" t="str">
        <f t="shared" si="13"/>
        <v>Mon</v>
      </c>
      <c r="I719" s="8" t="s">
        <v>279</v>
      </c>
      <c r="J719" s="1">
        <v>60</v>
      </c>
    </row>
    <row r="720" spans="2:12" x14ac:dyDescent="0.2">
      <c r="B720" s="4">
        <v>42871</v>
      </c>
      <c r="C720" s="8" t="s">
        <v>263</v>
      </c>
      <c r="D720" s="1">
        <v>6</v>
      </c>
      <c r="E720" s="9" t="s">
        <v>118</v>
      </c>
      <c r="F720" s="22">
        <v>93</v>
      </c>
      <c r="G720" s="22">
        <v>162</v>
      </c>
      <c r="H720" s="1" t="str">
        <f t="shared" si="13"/>
        <v>Tue</v>
      </c>
      <c r="I720" s="8" t="s">
        <v>279</v>
      </c>
      <c r="J720" s="1">
        <v>60</v>
      </c>
    </row>
    <row r="721" spans="2:15" x14ac:dyDescent="0.2">
      <c r="B721" s="4">
        <v>42872</v>
      </c>
      <c r="C721" s="8" t="s">
        <v>266</v>
      </c>
      <c r="D721" s="1">
        <v>7</v>
      </c>
      <c r="E721" s="9" t="s">
        <v>118</v>
      </c>
      <c r="F721" s="22">
        <v>130</v>
      </c>
      <c r="G721" s="22">
        <v>152</v>
      </c>
      <c r="H721" s="1" t="str">
        <f t="shared" si="13"/>
        <v>Wed</v>
      </c>
      <c r="I721" s="8" t="s">
        <v>279</v>
      </c>
      <c r="J721" s="1">
        <v>60</v>
      </c>
    </row>
    <row r="722" spans="2:15" x14ac:dyDescent="0.2">
      <c r="B722" s="4">
        <v>42874</v>
      </c>
      <c r="C722" s="8" t="s">
        <v>266</v>
      </c>
      <c r="D722" s="1">
        <v>7</v>
      </c>
      <c r="E722" s="9" t="s">
        <v>101</v>
      </c>
      <c r="F722" s="22">
        <v>371</v>
      </c>
      <c r="G722" s="22">
        <v>151</v>
      </c>
      <c r="H722" s="1" t="str">
        <f t="shared" si="13"/>
        <v>Fri</v>
      </c>
      <c r="I722" s="8" t="s">
        <v>279</v>
      </c>
      <c r="J722" s="1">
        <v>60</v>
      </c>
    </row>
    <row r="723" spans="2:15" x14ac:dyDescent="0.2">
      <c r="B723" s="4">
        <v>42875</v>
      </c>
      <c r="C723" s="8" t="s">
        <v>263</v>
      </c>
      <c r="D723" s="1">
        <v>8</v>
      </c>
      <c r="E723" s="9" t="s">
        <v>104</v>
      </c>
      <c r="F723" s="22">
        <v>525</v>
      </c>
      <c r="G723" s="22">
        <v>159</v>
      </c>
      <c r="H723" s="1" t="str">
        <f t="shared" si="13"/>
        <v>Sat</v>
      </c>
      <c r="I723" s="8" t="s">
        <v>279</v>
      </c>
      <c r="J723" s="1">
        <v>60</v>
      </c>
    </row>
    <row r="724" spans="2:15" x14ac:dyDescent="0.2">
      <c r="B724" s="4">
        <v>42877</v>
      </c>
      <c r="C724" s="8" t="s">
        <v>263</v>
      </c>
      <c r="D724" s="1">
        <v>1</v>
      </c>
      <c r="E724" s="9" t="s">
        <v>128</v>
      </c>
      <c r="F724" s="22">
        <v>0</v>
      </c>
      <c r="G724" s="22">
        <v>175</v>
      </c>
      <c r="H724" s="1" t="str">
        <f t="shared" si="13"/>
        <v>Mon</v>
      </c>
      <c r="I724" s="8" t="s">
        <v>217</v>
      </c>
      <c r="J724" s="1">
        <v>60</v>
      </c>
    </row>
    <row r="725" spans="2:15" x14ac:dyDescent="0.2">
      <c r="B725" s="4">
        <v>42877</v>
      </c>
      <c r="C725" s="8" t="s">
        <v>263</v>
      </c>
      <c r="D725" s="1">
        <v>6</v>
      </c>
      <c r="E725" s="9" t="s">
        <v>107</v>
      </c>
      <c r="F725" s="22">
        <v>130</v>
      </c>
      <c r="G725" s="22">
        <v>134</v>
      </c>
      <c r="H725" s="1" t="str">
        <f t="shared" si="13"/>
        <v>Mon</v>
      </c>
      <c r="I725" s="8" t="s">
        <v>217</v>
      </c>
      <c r="J725" s="1">
        <v>60</v>
      </c>
      <c r="K725" s="8" t="s">
        <v>173</v>
      </c>
      <c r="L725" s="1">
        <v>90</v>
      </c>
      <c r="M725" s="8" t="s">
        <v>293</v>
      </c>
      <c r="N725" s="1">
        <v>8</v>
      </c>
      <c r="O725" s="8" t="s">
        <v>291</v>
      </c>
    </row>
    <row r="726" spans="2:15" x14ac:dyDescent="0.2">
      <c r="B726" s="4">
        <v>42878</v>
      </c>
      <c r="C726" s="8" t="s">
        <v>266</v>
      </c>
      <c r="D726" s="1">
        <v>6</v>
      </c>
      <c r="E726" s="9" t="s">
        <v>65</v>
      </c>
      <c r="F726" s="22">
        <v>86</v>
      </c>
      <c r="G726" s="22">
        <v>149</v>
      </c>
      <c r="H726" s="1" t="str">
        <f t="shared" si="13"/>
        <v>Tue</v>
      </c>
      <c r="I726" s="8" t="s">
        <v>217</v>
      </c>
      <c r="J726" s="1">
        <v>60</v>
      </c>
    </row>
    <row r="727" spans="2:15" x14ac:dyDescent="0.2">
      <c r="B727" s="4">
        <v>42879</v>
      </c>
      <c r="C727" s="8" t="s">
        <v>263</v>
      </c>
      <c r="D727" s="1">
        <v>7</v>
      </c>
      <c r="E727" s="9" t="s">
        <v>247</v>
      </c>
      <c r="F727" s="22">
        <v>256</v>
      </c>
      <c r="G727" s="22">
        <v>153</v>
      </c>
      <c r="H727" s="1" t="str">
        <f t="shared" si="13"/>
        <v>Wed</v>
      </c>
      <c r="I727" s="8" t="s">
        <v>217</v>
      </c>
      <c r="J727" s="1">
        <v>60</v>
      </c>
      <c r="K727" s="8" t="s">
        <v>172</v>
      </c>
      <c r="L727" s="1">
        <v>80</v>
      </c>
      <c r="M727" s="8" t="s">
        <v>296</v>
      </c>
      <c r="N727" s="1">
        <v>1</v>
      </c>
    </row>
    <row r="728" spans="2:15" x14ac:dyDescent="0.2">
      <c r="B728" s="4">
        <v>42880</v>
      </c>
      <c r="C728" s="8" t="s">
        <v>266</v>
      </c>
      <c r="D728" s="1">
        <v>6</v>
      </c>
      <c r="E728" s="9" t="s">
        <v>57</v>
      </c>
      <c r="F728" s="22">
        <v>131</v>
      </c>
      <c r="G728" s="22">
        <v>159</v>
      </c>
      <c r="H728" s="1" t="str">
        <f t="shared" si="13"/>
        <v>Thu</v>
      </c>
      <c r="I728" s="8" t="s">
        <v>217</v>
      </c>
      <c r="J728" s="1">
        <v>60</v>
      </c>
    </row>
    <row r="729" spans="2:15" x14ac:dyDescent="0.2">
      <c r="B729" s="4">
        <v>42881</v>
      </c>
      <c r="C729" s="8" t="s">
        <v>263</v>
      </c>
      <c r="D729" s="1">
        <v>7</v>
      </c>
      <c r="E729" s="9" t="s">
        <v>45</v>
      </c>
      <c r="F729" s="22">
        <v>269</v>
      </c>
      <c r="G729" s="22">
        <v>161</v>
      </c>
      <c r="H729" s="1" t="str">
        <f t="shared" si="13"/>
        <v>Fri</v>
      </c>
      <c r="I729" s="8" t="s">
        <v>217</v>
      </c>
      <c r="J729" s="1">
        <v>60</v>
      </c>
      <c r="K729" s="8" t="s">
        <v>289</v>
      </c>
      <c r="L729" s="1">
        <v>80</v>
      </c>
      <c r="M729" s="8" t="s">
        <v>290</v>
      </c>
      <c r="N729" s="1">
        <v>6</v>
      </c>
      <c r="O729" s="8" t="s">
        <v>291</v>
      </c>
    </row>
    <row r="730" spans="2:15" x14ac:dyDescent="0.2">
      <c r="B730" s="4">
        <v>42882</v>
      </c>
      <c r="C730" s="8" t="s">
        <v>266</v>
      </c>
      <c r="D730" s="1">
        <v>10</v>
      </c>
      <c r="E730" s="9" t="s">
        <v>221</v>
      </c>
      <c r="F730" s="22">
        <v>299</v>
      </c>
      <c r="G730" s="22">
        <v>137</v>
      </c>
      <c r="H730" s="1" t="str">
        <f t="shared" si="13"/>
        <v>Sat</v>
      </c>
      <c r="I730" s="8" t="s">
        <v>217</v>
      </c>
      <c r="J730" s="1">
        <v>60</v>
      </c>
    </row>
    <row r="731" spans="2:15" x14ac:dyDescent="0.2">
      <c r="B731" s="4">
        <v>42884</v>
      </c>
      <c r="C731" s="8" t="s">
        <v>266</v>
      </c>
      <c r="D731" s="1">
        <v>7</v>
      </c>
      <c r="E731" s="9" t="s">
        <v>255</v>
      </c>
      <c r="F731" s="22">
        <v>468</v>
      </c>
      <c r="G731" s="22">
        <v>151</v>
      </c>
      <c r="H731" s="1" t="str">
        <f t="shared" si="13"/>
        <v>Mon</v>
      </c>
      <c r="I731" s="8" t="s">
        <v>218</v>
      </c>
      <c r="J731" s="1">
        <v>60</v>
      </c>
      <c r="K731" s="8" t="s">
        <v>173</v>
      </c>
      <c r="L731" s="1">
        <v>90</v>
      </c>
      <c r="M731" s="8" t="s">
        <v>293</v>
      </c>
      <c r="N731" s="1">
        <v>8</v>
      </c>
      <c r="O731" s="8" t="s">
        <v>291</v>
      </c>
    </row>
    <row r="732" spans="2:15" x14ac:dyDescent="0.2">
      <c r="B732" s="4">
        <v>42885</v>
      </c>
      <c r="C732" s="8" t="s">
        <v>263</v>
      </c>
      <c r="D732" s="1">
        <v>6</v>
      </c>
      <c r="E732" s="9" t="s">
        <v>270</v>
      </c>
      <c r="F732" s="22">
        <v>275</v>
      </c>
      <c r="G732" s="22">
        <v>174</v>
      </c>
      <c r="H732" s="1" t="str">
        <f t="shared" si="13"/>
        <v>Tue</v>
      </c>
      <c r="I732" s="8" t="s">
        <v>218</v>
      </c>
      <c r="J732" s="1">
        <v>60</v>
      </c>
    </row>
    <row r="733" spans="2:15" x14ac:dyDescent="0.2">
      <c r="B733" s="4">
        <v>42886</v>
      </c>
      <c r="C733" s="8" t="s">
        <v>266</v>
      </c>
      <c r="D733" s="1">
        <v>8</v>
      </c>
      <c r="E733" s="9" t="s">
        <v>139</v>
      </c>
      <c r="F733" s="22">
        <v>161</v>
      </c>
      <c r="G733" s="22">
        <v>162</v>
      </c>
      <c r="H733" s="1" t="str">
        <f t="shared" si="13"/>
        <v>Wed</v>
      </c>
      <c r="I733" s="8" t="s">
        <v>218</v>
      </c>
      <c r="J733" s="1">
        <v>60</v>
      </c>
    </row>
    <row r="734" spans="2:15" x14ac:dyDescent="0.2">
      <c r="B734" s="4">
        <v>42887</v>
      </c>
      <c r="C734" s="8" t="s">
        <v>263</v>
      </c>
      <c r="D734" s="1">
        <v>6</v>
      </c>
      <c r="E734" s="9" t="s">
        <v>124</v>
      </c>
      <c r="F734" s="22">
        <v>196</v>
      </c>
      <c r="G734" s="22">
        <v>163</v>
      </c>
      <c r="H734" s="1" t="str">
        <f t="shared" si="13"/>
        <v>Thu</v>
      </c>
      <c r="I734" s="8" t="s">
        <v>218</v>
      </c>
      <c r="J734" s="1">
        <v>60</v>
      </c>
    </row>
    <row r="735" spans="2:15" x14ac:dyDescent="0.2">
      <c r="B735" s="4">
        <v>42888</v>
      </c>
      <c r="C735" s="8" t="s">
        <v>266</v>
      </c>
      <c r="D735" s="1">
        <v>7</v>
      </c>
      <c r="E735" s="9" t="s">
        <v>70</v>
      </c>
      <c r="F735" s="22">
        <v>248</v>
      </c>
      <c r="G735" s="22">
        <v>158</v>
      </c>
      <c r="H735" s="1" t="str">
        <f t="shared" si="13"/>
        <v>Fri</v>
      </c>
      <c r="I735" s="8" t="s">
        <v>218</v>
      </c>
      <c r="J735" s="1">
        <v>70</v>
      </c>
    </row>
    <row r="736" spans="2:15" x14ac:dyDescent="0.2">
      <c r="B736" s="4">
        <v>42889</v>
      </c>
      <c r="C736" s="8" t="s">
        <v>263</v>
      </c>
      <c r="D736" s="1">
        <v>11</v>
      </c>
      <c r="E736" s="9" t="s">
        <v>297</v>
      </c>
      <c r="F736" s="22">
        <v>848</v>
      </c>
      <c r="G736" s="22">
        <v>149</v>
      </c>
      <c r="H736" s="1" t="str">
        <f t="shared" si="13"/>
        <v>Sat</v>
      </c>
      <c r="I736" s="8" t="s">
        <v>218</v>
      </c>
      <c r="J736" s="1">
        <v>60</v>
      </c>
    </row>
    <row r="737" spans="2:15" x14ac:dyDescent="0.2">
      <c r="B737" s="4">
        <v>42891</v>
      </c>
      <c r="C737" s="8" t="s">
        <v>263</v>
      </c>
      <c r="D737" s="1">
        <v>8</v>
      </c>
      <c r="E737" s="9" t="s">
        <v>26</v>
      </c>
      <c r="F737" s="22">
        <v>110</v>
      </c>
      <c r="G737" s="22">
        <v>156</v>
      </c>
      <c r="H737" s="1" t="str">
        <f t="shared" si="13"/>
        <v>Mon</v>
      </c>
      <c r="I737" s="8" t="s">
        <v>218</v>
      </c>
      <c r="J737" s="1">
        <v>70</v>
      </c>
      <c r="K737" s="8" t="s">
        <v>173</v>
      </c>
      <c r="L737" s="1">
        <v>90</v>
      </c>
      <c r="M737" s="8" t="s">
        <v>293</v>
      </c>
      <c r="N737" s="1">
        <v>8</v>
      </c>
      <c r="O737" s="8" t="s">
        <v>291</v>
      </c>
    </row>
    <row r="738" spans="2:15" x14ac:dyDescent="0.2">
      <c r="B738" s="4">
        <v>42892</v>
      </c>
      <c r="C738" s="8" t="s">
        <v>266</v>
      </c>
      <c r="D738" s="1">
        <v>6</v>
      </c>
      <c r="E738" s="9" t="s">
        <v>265</v>
      </c>
      <c r="F738" s="22">
        <v>163</v>
      </c>
      <c r="G738" s="22">
        <v>167</v>
      </c>
      <c r="H738" s="1" t="str">
        <f t="shared" si="13"/>
        <v>Tue</v>
      </c>
      <c r="I738" s="8" t="s">
        <v>218</v>
      </c>
      <c r="J738" s="1">
        <v>60</v>
      </c>
    </row>
    <row r="739" spans="2:15" x14ac:dyDescent="0.2">
      <c r="B739" s="4">
        <v>42893</v>
      </c>
      <c r="C739" s="8" t="s">
        <v>263</v>
      </c>
      <c r="D739" s="1">
        <v>8</v>
      </c>
      <c r="E739" s="9" t="s">
        <v>150</v>
      </c>
      <c r="F739" s="22">
        <v>132</v>
      </c>
      <c r="G739" s="22">
        <v>142</v>
      </c>
      <c r="H739" s="1" t="str">
        <f t="shared" si="13"/>
        <v>Wed</v>
      </c>
      <c r="I739" s="8" t="s">
        <v>218</v>
      </c>
      <c r="J739" s="1">
        <v>70</v>
      </c>
      <c r="K739" s="8" t="s">
        <v>172</v>
      </c>
      <c r="L739" s="1">
        <v>80</v>
      </c>
      <c r="M739" s="8" t="s">
        <v>296</v>
      </c>
      <c r="N739" s="1">
        <v>1</v>
      </c>
    </row>
    <row r="740" spans="2:15" x14ac:dyDescent="0.2">
      <c r="B740" s="4">
        <v>42894</v>
      </c>
      <c r="C740" s="8" t="s">
        <v>266</v>
      </c>
      <c r="D740" s="1">
        <v>6</v>
      </c>
      <c r="E740" s="9" t="s">
        <v>265</v>
      </c>
      <c r="F740" s="22">
        <v>248</v>
      </c>
      <c r="G740" s="22">
        <v>163</v>
      </c>
      <c r="H740" s="1" t="str">
        <f t="shared" si="13"/>
        <v>Thu</v>
      </c>
      <c r="I740" s="8" t="s">
        <v>218</v>
      </c>
      <c r="J740" s="1">
        <v>60</v>
      </c>
    </row>
    <row r="741" spans="2:15" x14ac:dyDescent="0.2">
      <c r="B741" s="4">
        <v>42895</v>
      </c>
      <c r="C741" s="8" t="s">
        <v>263</v>
      </c>
      <c r="D741" s="1">
        <v>7</v>
      </c>
      <c r="E741" s="9" t="s">
        <v>134</v>
      </c>
      <c r="F741" s="22">
        <v>106</v>
      </c>
      <c r="G741" s="22">
        <v>152</v>
      </c>
      <c r="H741" s="1" t="str">
        <f t="shared" si="13"/>
        <v>Fri</v>
      </c>
      <c r="I741" s="8" t="s">
        <v>218</v>
      </c>
      <c r="J741" s="1">
        <v>60</v>
      </c>
    </row>
    <row r="742" spans="2:15" x14ac:dyDescent="0.2">
      <c r="B742" s="4">
        <v>42896</v>
      </c>
      <c r="C742" s="8" t="s">
        <v>266</v>
      </c>
      <c r="D742" s="1">
        <v>12</v>
      </c>
      <c r="E742" s="9" t="s">
        <v>221</v>
      </c>
      <c r="F742" s="22">
        <v>220</v>
      </c>
      <c r="G742" s="22">
        <v>147</v>
      </c>
      <c r="H742" s="1" t="str">
        <f t="shared" si="13"/>
        <v>Sat</v>
      </c>
      <c r="I742" s="8" t="s">
        <v>218</v>
      </c>
      <c r="J742" s="1">
        <v>65</v>
      </c>
    </row>
    <row r="743" spans="2:15" x14ac:dyDescent="0.2">
      <c r="B743" s="4">
        <v>42898</v>
      </c>
      <c r="C743" s="8" t="s">
        <v>263</v>
      </c>
      <c r="D743" s="1">
        <v>8</v>
      </c>
      <c r="E743" s="9" t="s">
        <v>45</v>
      </c>
      <c r="F743" s="22">
        <v>569</v>
      </c>
      <c r="G743" s="22">
        <v>162</v>
      </c>
      <c r="H743" s="1" t="str">
        <f t="shared" si="13"/>
        <v>Mon</v>
      </c>
      <c r="I743" s="8" t="s">
        <v>219</v>
      </c>
      <c r="J743" s="1">
        <v>70</v>
      </c>
      <c r="K743" s="8" t="s">
        <v>173</v>
      </c>
      <c r="L743" s="1">
        <v>90</v>
      </c>
      <c r="M743" s="8" t="s">
        <v>293</v>
      </c>
      <c r="N743" s="1">
        <v>6</v>
      </c>
      <c r="O743" s="8" t="s">
        <v>291</v>
      </c>
    </row>
    <row r="744" spans="2:15" x14ac:dyDescent="0.2">
      <c r="B744" s="4">
        <v>42899</v>
      </c>
      <c r="C744" s="8" t="s">
        <v>266</v>
      </c>
      <c r="D744" s="1">
        <v>6</v>
      </c>
      <c r="E744" s="9" t="s">
        <v>14</v>
      </c>
      <c r="F744" s="22">
        <v>224</v>
      </c>
      <c r="G744" s="22">
        <v>160</v>
      </c>
      <c r="H744" s="1" t="str">
        <f t="shared" si="13"/>
        <v>Tue</v>
      </c>
      <c r="I744" s="8" t="s">
        <v>219</v>
      </c>
      <c r="J744" s="1">
        <v>60</v>
      </c>
    </row>
    <row r="745" spans="2:15" x14ac:dyDescent="0.2">
      <c r="B745" s="4">
        <v>42900</v>
      </c>
      <c r="C745" s="8" t="s">
        <v>263</v>
      </c>
      <c r="D745" s="1">
        <v>8</v>
      </c>
      <c r="E745" s="9" t="s">
        <v>11</v>
      </c>
      <c r="F745" s="22">
        <v>153</v>
      </c>
      <c r="G745" s="22">
        <v>150</v>
      </c>
      <c r="H745" s="1" t="str">
        <f t="shared" si="13"/>
        <v>Wed</v>
      </c>
      <c r="I745" s="8" t="s">
        <v>219</v>
      </c>
      <c r="J745" s="1">
        <v>60</v>
      </c>
      <c r="K745" s="8" t="s">
        <v>172</v>
      </c>
      <c r="L745" s="1">
        <v>80</v>
      </c>
      <c r="M745" s="8" t="s">
        <v>292</v>
      </c>
      <c r="N745" s="1">
        <v>1</v>
      </c>
    </row>
    <row r="746" spans="2:15" x14ac:dyDescent="0.2">
      <c r="B746" s="4">
        <v>42901</v>
      </c>
      <c r="C746" s="8" t="s">
        <v>266</v>
      </c>
      <c r="D746" s="1">
        <v>6</v>
      </c>
      <c r="E746" s="9" t="s">
        <v>129</v>
      </c>
      <c r="F746" s="22">
        <v>163</v>
      </c>
      <c r="G746" s="22">
        <v>146</v>
      </c>
      <c r="H746" s="1" t="str">
        <f t="shared" si="13"/>
        <v>Thu</v>
      </c>
      <c r="I746" s="8" t="s">
        <v>219</v>
      </c>
      <c r="J746" s="1">
        <v>60</v>
      </c>
    </row>
    <row r="747" spans="2:15" x14ac:dyDescent="0.2">
      <c r="B747" s="4">
        <v>42902</v>
      </c>
      <c r="C747" s="8" t="s">
        <v>263</v>
      </c>
      <c r="D747" s="1">
        <v>8</v>
      </c>
      <c r="E747" s="9" t="s">
        <v>105</v>
      </c>
      <c r="F747" s="22">
        <v>118</v>
      </c>
      <c r="G747" s="22">
        <v>148</v>
      </c>
      <c r="H747" s="1" t="str">
        <f t="shared" si="13"/>
        <v>Fri</v>
      </c>
      <c r="I747" s="8" t="s">
        <v>219</v>
      </c>
      <c r="J747" s="1">
        <v>60</v>
      </c>
    </row>
    <row r="748" spans="2:15" x14ac:dyDescent="0.2">
      <c r="B748" s="4">
        <v>42903</v>
      </c>
      <c r="C748" s="8" t="s">
        <v>266</v>
      </c>
      <c r="D748" s="1">
        <v>13</v>
      </c>
      <c r="E748" s="9" t="s">
        <v>113</v>
      </c>
      <c r="F748" s="22">
        <v>428</v>
      </c>
      <c r="G748" s="22">
        <v>146</v>
      </c>
      <c r="H748" s="1" t="str">
        <f t="shared" si="13"/>
        <v>Sat</v>
      </c>
      <c r="I748" s="8" t="s">
        <v>219</v>
      </c>
      <c r="J748" s="1">
        <v>60</v>
      </c>
    </row>
    <row r="749" spans="2:15" x14ac:dyDescent="0.2">
      <c r="B749" s="4">
        <v>42905</v>
      </c>
      <c r="C749" s="8" t="s">
        <v>263</v>
      </c>
      <c r="D749" s="1">
        <v>8</v>
      </c>
      <c r="E749" s="9" t="s">
        <v>264</v>
      </c>
      <c r="F749" s="22">
        <v>211</v>
      </c>
      <c r="G749" s="22">
        <v>158</v>
      </c>
      <c r="H749" s="1" t="str">
        <f t="shared" si="13"/>
        <v>Mon</v>
      </c>
      <c r="I749" s="8" t="s">
        <v>306</v>
      </c>
      <c r="J749" s="1">
        <v>60</v>
      </c>
      <c r="K749" s="8" t="s">
        <v>307</v>
      </c>
      <c r="L749" s="1">
        <v>85</v>
      </c>
      <c r="M749" s="8" t="s">
        <v>295</v>
      </c>
      <c r="N749" s="1">
        <v>3</v>
      </c>
      <c r="O749" s="8" t="s">
        <v>308</v>
      </c>
    </row>
    <row r="750" spans="2:15" x14ac:dyDescent="0.2">
      <c r="B750" s="4">
        <v>42906</v>
      </c>
      <c r="C750" s="8" t="s">
        <v>309</v>
      </c>
      <c r="D750" s="1">
        <v>6</v>
      </c>
      <c r="E750" s="9" t="s">
        <v>139</v>
      </c>
      <c r="F750" s="22">
        <v>88</v>
      </c>
      <c r="G750" s="22">
        <v>155</v>
      </c>
      <c r="H750" s="1" t="str">
        <f t="shared" si="13"/>
        <v>Tue</v>
      </c>
      <c r="I750" s="8" t="s">
        <v>306</v>
      </c>
      <c r="J750" s="1">
        <v>60</v>
      </c>
    </row>
    <row r="751" spans="2:15" x14ac:dyDescent="0.2">
      <c r="B751" s="4">
        <v>42907</v>
      </c>
      <c r="C751" s="8" t="s">
        <v>263</v>
      </c>
      <c r="D751" s="1">
        <v>9</v>
      </c>
      <c r="E751" s="9" t="s">
        <v>28</v>
      </c>
      <c r="F751" s="22">
        <v>184</v>
      </c>
      <c r="G751" s="22">
        <v>155</v>
      </c>
      <c r="H751" s="1" t="str">
        <f t="shared" si="13"/>
        <v>Wed</v>
      </c>
      <c r="I751" s="8" t="s">
        <v>306</v>
      </c>
      <c r="J751" s="1">
        <v>60</v>
      </c>
      <c r="K751" s="8" t="s">
        <v>172</v>
      </c>
      <c r="L751" s="1">
        <v>80</v>
      </c>
      <c r="M751" s="8" t="s">
        <v>310</v>
      </c>
      <c r="N751" s="1">
        <v>1</v>
      </c>
    </row>
    <row r="752" spans="2:15" x14ac:dyDescent="0.2">
      <c r="B752" s="4">
        <v>42908</v>
      </c>
      <c r="C752" s="8" t="s">
        <v>266</v>
      </c>
      <c r="D752" s="1">
        <v>6</v>
      </c>
      <c r="E752" s="9" t="s">
        <v>57</v>
      </c>
      <c r="F752" s="22">
        <v>235</v>
      </c>
      <c r="G752" s="22">
        <v>144</v>
      </c>
      <c r="H752" s="1" t="str">
        <f t="shared" si="13"/>
        <v>Thu</v>
      </c>
      <c r="I752" s="8" t="s">
        <v>306</v>
      </c>
      <c r="J752" s="1">
        <v>60</v>
      </c>
    </row>
    <row r="753" spans="2:15" x14ac:dyDescent="0.2">
      <c r="B753" s="4">
        <v>42909</v>
      </c>
      <c r="C753" s="8" t="s">
        <v>309</v>
      </c>
      <c r="D753" s="1">
        <v>6</v>
      </c>
      <c r="E753" s="9" t="s">
        <v>113</v>
      </c>
      <c r="F753" s="22">
        <v>241</v>
      </c>
      <c r="G753" s="22">
        <v>167</v>
      </c>
      <c r="H753" s="1" t="str">
        <f t="shared" si="13"/>
        <v>Fri</v>
      </c>
      <c r="I753" s="8" t="s">
        <v>306</v>
      </c>
      <c r="J753" s="1">
        <v>60</v>
      </c>
    </row>
    <row r="754" spans="2:15" x14ac:dyDescent="0.2">
      <c r="B754" s="4">
        <v>42910</v>
      </c>
      <c r="C754" s="8" t="s">
        <v>263</v>
      </c>
      <c r="D754" s="1">
        <v>14</v>
      </c>
      <c r="E754" s="9" t="s">
        <v>65</v>
      </c>
      <c r="F754" s="22">
        <v>316</v>
      </c>
      <c r="G754" s="22">
        <v>145</v>
      </c>
      <c r="H754" s="1" t="str">
        <f t="shared" si="13"/>
        <v>Sat</v>
      </c>
      <c r="I754" s="8" t="s">
        <v>306</v>
      </c>
      <c r="J754" s="1">
        <v>60</v>
      </c>
    </row>
    <row r="755" spans="2:15" x14ac:dyDescent="0.2">
      <c r="B755" s="4">
        <v>42912</v>
      </c>
      <c r="C755" s="8" t="s">
        <v>275</v>
      </c>
      <c r="D755" s="1">
        <v>8</v>
      </c>
      <c r="E755" s="9" t="s">
        <v>145</v>
      </c>
      <c r="F755" s="22">
        <v>535</v>
      </c>
      <c r="G755" s="22">
        <v>161</v>
      </c>
      <c r="H755" s="1" t="str">
        <f t="shared" si="13"/>
        <v>Mon</v>
      </c>
      <c r="I755" s="8" t="s">
        <v>312</v>
      </c>
      <c r="J755" s="1">
        <v>60</v>
      </c>
      <c r="K755" s="8" t="s">
        <v>222</v>
      </c>
      <c r="L755" s="1">
        <v>90</v>
      </c>
      <c r="M755" s="8" t="s">
        <v>215</v>
      </c>
    </row>
    <row r="756" spans="2:15" x14ac:dyDescent="0.2">
      <c r="B756" s="4">
        <v>42913</v>
      </c>
      <c r="C756" s="8" t="s">
        <v>266</v>
      </c>
      <c r="D756" s="1">
        <v>6</v>
      </c>
      <c r="E756" s="9" t="s">
        <v>278</v>
      </c>
      <c r="F756" s="22">
        <v>156</v>
      </c>
      <c r="G756" s="22">
        <v>149</v>
      </c>
      <c r="H756" s="1" t="str">
        <f t="shared" si="13"/>
        <v>Tue</v>
      </c>
      <c r="I756" s="8" t="s">
        <v>312</v>
      </c>
      <c r="J756" s="1">
        <v>60</v>
      </c>
    </row>
    <row r="757" spans="2:15" x14ac:dyDescent="0.2">
      <c r="B757" s="4">
        <v>42914</v>
      </c>
      <c r="C757" s="8" t="s">
        <v>275</v>
      </c>
      <c r="D757" s="1">
        <v>9</v>
      </c>
      <c r="E757" s="9" t="s">
        <v>70</v>
      </c>
      <c r="F757" s="22">
        <v>223</v>
      </c>
      <c r="G757" s="22">
        <v>154</v>
      </c>
      <c r="H757" s="1" t="str">
        <f t="shared" si="13"/>
        <v>Wed</v>
      </c>
      <c r="I757" s="8" t="s">
        <v>312</v>
      </c>
      <c r="J757" s="1">
        <v>60</v>
      </c>
      <c r="K757" s="8" t="s">
        <v>172</v>
      </c>
      <c r="L757" s="1">
        <v>80</v>
      </c>
      <c r="M757" s="8" t="s">
        <v>310</v>
      </c>
      <c r="N757" s="1">
        <v>1</v>
      </c>
    </row>
    <row r="758" spans="2:15" x14ac:dyDescent="0.2">
      <c r="B758" s="4">
        <v>42915</v>
      </c>
      <c r="C758" s="8" t="s">
        <v>266</v>
      </c>
      <c r="D758" s="1">
        <v>6</v>
      </c>
      <c r="E758" s="9" t="s">
        <v>73</v>
      </c>
      <c r="F758" s="22">
        <v>164</v>
      </c>
      <c r="G758" s="22">
        <v>141</v>
      </c>
      <c r="H758" s="1" t="str">
        <f t="shared" si="13"/>
        <v>Thu</v>
      </c>
      <c r="I758" s="8" t="s">
        <v>312</v>
      </c>
      <c r="J758" s="1">
        <v>60</v>
      </c>
    </row>
    <row r="759" spans="2:15" x14ac:dyDescent="0.2">
      <c r="B759" s="4">
        <v>42916</v>
      </c>
      <c r="C759" s="8" t="s">
        <v>275</v>
      </c>
      <c r="D759" s="1">
        <v>8</v>
      </c>
      <c r="E759" s="9" t="s">
        <v>98</v>
      </c>
      <c r="F759" s="22">
        <v>457</v>
      </c>
      <c r="G759" s="22">
        <v>155</v>
      </c>
      <c r="H759" s="1" t="str">
        <f t="shared" si="13"/>
        <v>Fri</v>
      </c>
      <c r="I759" s="8" t="s">
        <v>312</v>
      </c>
      <c r="J759" s="1">
        <v>60</v>
      </c>
    </row>
    <row r="760" spans="2:15" x14ac:dyDescent="0.2">
      <c r="B760" s="4">
        <v>42917</v>
      </c>
      <c r="C760" s="8" t="s">
        <v>266</v>
      </c>
      <c r="D760" s="1">
        <v>15</v>
      </c>
      <c r="E760" s="9" t="s">
        <v>113</v>
      </c>
      <c r="F760" s="22">
        <v>1256</v>
      </c>
      <c r="G760" s="22">
        <v>164</v>
      </c>
      <c r="H760" s="1" t="str">
        <f t="shared" si="13"/>
        <v>Sat</v>
      </c>
      <c r="I760" s="8" t="s">
        <v>312</v>
      </c>
      <c r="J760" s="1">
        <v>65</v>
      </c>
    </row>
    <row r="761" spans="2:15" x14ac:dyDescent="0.2">
      <c r="B761" s="4">
        <v>42919</v>
      </c>
      <c r="C761" s="8" t="s">
        <v>266</v>
      </c>
      <c r="D761" s="1">
        <v>8</v>
      </c>
      <c r="E761" s="9" t="s">
        <v>62</v>
      </c>
      <c r="F761" s="22">
        <v>161</v>
      </c>
      <c r="G761" s="22">
        <v>155</v>
      </c>
      <c r="H761" s="1" t="str">
        <f t="shared" si="13"/>
        <v>Mon</v>
      </c>
      <c r="I761" s="8" t="s">
        <v>313</v>
      </c>
      <c r="J761" s="1">
        <v>60</v>
      </c>
    </row>
    <row r="762" spans="2:15" x14ac:dyDescent="0.2">
      <c r="B762" s="4">
        <v>42921</v>
      </c>
      <c r="C762" s="8" t="s">
        <v>275</v>
      </c>
      <c r="D762" s="1">
        <v>8</v>
      </c>
      <c r="E762" s="9" t="s">
        <v>113</v>
      </c>
      <c r="F762" s="22">
        <v>85</v>
      </c>
      <c r="G762" s="22">
        <v>162</v>
      </c>
      <c r="H762" s="1" t="str">
        <f t="shared" si="13"/>
        <v>Wed</v>
      </c>
      <c r="I762" s="8" t="s">
        <v>313</v>
      </c>
      <c r="J762" s="1">
        <v>60</v>
      </c>
    </row>
    <row r="763" spans="2:15" x14ac:dyDescent="0.2">
      <c r="B763" s="4">
        <v>42923</v>
      </c>
      <c r="C763" s="8" t="s">
        <v>266</v>
      </c>
      <c r="D763" s="1">
        <v>8</v>
      </c>
      <c r="E763" s="9" t="s">
        <v>265</v>
      </c>
      <c r="F763" s="22">
        <v>205</v>
      </c>
      <c r="G763" s="22">
        <v>163</v>
      </c>
      <c r="H763" s="1" t="str">
        <f t="shared" si="13"/>
        <v>Fri</v>
      </c>
      <c r="I763" s="8" t="s">
        <v>313</v>
      </c>
      <c r="J763" s="1">
        <v>60</v>
      </c>
    </row>
    <row r="764" spans="2:15" x14ac:dyDescent="0.2">
      <c r="B764" s="4">
        <v>42924</v>
      </c>
      <c r="C764" s="8" t="s">
        <v>275</v>
      </c>
      <c r="D764" s="1">
        <v>12</v>
      </c>
      <c r="E764" s="9" t="s">
        <v>61</v>
      </c>
      <c r="F764" s="22">
        <v>296</v>
      </c>
      <c r="G764" s="22">
        <v>168</v>
      </c>
      <c r="H764" s="1" t="str">
        <f t="shared" si="13"/>
        <v>Sat</v>
      </c>
      <c r="I764" s="8" t="s">
        <v>313</v>
      </c>
      <c r="J764" s="1">
        <v>60</v>
      </c>
    </row>
    <row r="765" spans="2:15" x14ac:dyDescent="0.2">
      <c r="B765" s="4">
        <v>42926</v>
      </c>
      <c r="C765" s="8" t="s">
        <v>314</v>
      </c>
      <c r="D765" s="1">
        <v>9</v>
      </c>
      <c r="E765" s="9" t="s">
        <v>19</v>
      </c>
      <c r="F765" s="22">
        <v>182</v>
      </c>
      <c r="G765" s="22">
        <v>167</v>
      </c>
      <c r="H765" s="1" t="str">
        <f t="shared" si="13"/>
        <v>Mon</v>
      </c>
      <c r="I765" s="8" t="s">
        <v>217</v>
      </c>
      <c r="J765" s="1">
        <v>60</v>
      </c>
      <c r="K765" s="8" t="s">
        <v>307</v>
      </c>
      <c r="L765" s="1">
        <v>85</v>
      </c>
      <c r="M765" s="8" t="s">
        <v>295</v>
      </c>
      <c r="N765" s="1">
        <v>3</v>
      </c>
      <c r="O765" s="8" t="s">
        <v>308</v>
      </c>
    </row>
    <row r="766" spans="2:15" x14ac:dyDescent="0.2">
      <c r="B766" s="4">
        <v>42927</v>
      </c>
      <c r="C766" s="8" t="s">
        <v>275</v>
      </c>
      <c r="D766" s="1">
        <v>6</v>
      </c>
      <c r="E766" s="9" t="s">
        <v>20</v>
      </c>
      <c r="F766" s="22">
        <v>250</v>
      </c>
      <c r="G766" s="22">
        <v>144</v>
      </c>
      <c r="H766" s="1" t="str">
        <f t="shared" si="13"/>
        <v>Tue</v>
      </c>
      <c r="I766" s="8" t="s">
        <v>217</v>
      </c>
      <c r="J766" s="1">
        <v>60</v>
      </c>
    </row>
    <row r="767" spans="2:15" x14ac:dyDescent="0.2">
      <c r="B767" s="4">
        <v>42928</v>
      </c>
      <c r="C767" s="8" t="s">
        <v>314</v>
      </c>
      <c r="D767" s="1">
        <v>7</v>
      </c>
      <c r="E767" s="9" t="s">
        <v>66</v>
      </c>
      <c r="F767" s="22">
        <v>185</v>
      </c>
      <c r="G767" s="22">
        <v>172</v>
      </c>
      <c r="H767" s="1" t="str">
        <f t="shared" ref="H767:H1021" si="14">TEXT(B767,"ddd")</f>
        <v>Wed</v>
      </c>
      <c r="I767" s="8" t="s">
        <v>217</v>
      </c>
      <c r="J767" s="1">
        <v>60</v>
      </c>
    </row>
    <row r="768" spans="2:15" x14ac:dyDescent="0.2">
      <c r="B768" s="4">
        <v>42929</v>
      </c>
      <c r="C768" s="8" t="s">
        <v>275</v>
      </c>
      <c r="D768" s="1">
        <v>6</v>
      </c>
      <c r="E768" s="9" t="s">
        <v>97</v>
      </c>
      <c r="F768" s="22">
        <v>239</v>
      </c>
      <c r="G768" s="22">
        <v>160</v>
      </c>
      <c r="H768" s="1" t="str">
        <f t="shared" si="14"/>
        <v>Thu</v>
      </c>
      <c r="I768" s="8" t="s">
        <v>217</v>
      </c>
      <c r="J768" s="1">
        <v>60</v>
      </c>
    </row>
    <row r="769" spans="2:14" x14ac:dyDescent="0.2">
      <c r="B769" s="4">
        <v>42930</v>
      </c>
      <c r="C769" s="8" t="s">
        <v>275</v>
      </c>
      <c r="D769" s="1">
        <v>9</v>
      </c>
      <c r="E769" s="9" t="s">
        <v>86</v>
      </c>
      <c r="F769" s="22">
        <v>147</v>
      </c>
      <c r="G769" s="22">
        <v>163</v>
      </c>
      <c r="H769" s="1" t="str">
        <f t="shared" si="14"/>
        <v>Fri</v>
      </c>
      <c r="I769" s="8" t="s">
        <v>217</v>
      </c>
      <c r="J769" s="1">
        <v>60</v>
      </c>
    </row>
    <row r="770" spans="2:14" x14ac:dyDescent="0.2">
      <c r="B770" s="4">
        <v>42931</v>
      </c>
      <c r="C770" s="8" t="s">
        <v>275</v>
      </c>
      <c r="D770" s="1">
        <v>15</v>
      </c>
      <c r="E770" s="9" t="s">
        <v>316</v>
      </c>
      <c r="F770" s="22">
        <v>329</v>
      </c>
      <c r="G770" s="22">
        <v>162</v>
      </c>
      <c r="H770" s="1" t="str">
        <f t="shared" si="14"/>
        <v>Sat</v>
      </c>
      <c r="I770" s="8" t="s">
        <v>217</v>
      </c>
      <c r="J770" s="1">
        <v>60</v>
      </c>
    </row>
    <row r="771" spans="2:14" x14ac:dyDescent="0.2">
      <c r="B771" s="4">
        <v>42933</v>
      </c>
      <c r="C771" s="8" t="s">
        <v>275</v>
      </c>
      <c r="D771" s="1">
        <v>9</v>
      </c>
      <c r="E771" s="9" t="s">
        <v>14</v>
      </c>
      <c r="F771" s="22">
        <v>609</v>
      </c>
      <c r="G771" s="22">
        <v>161</v>
      </c>
      <c r="H771" s="1" t="str">
        <f t="shared" si="14"/>
        <v>Mon</v>
      </c>
      <c r="I771" s="8" t="s">
        <v>218</v>
      </c>
      <c r="J771" s="1">
        <v>60</v>
      </c>
      <c r="K771" s="8" t="s">
        <v>222</v>
      </c>
      <c r="L771" s="1">
        <v>85</v>
      </c>
    </row>
    <row r="772" spans="2:14" x14ac:dyDescent="0.2">
      <c r="B772" s="4">
        <v>42934</v>
      </c>
      <c r="C772" s="34" t="s">
        <v>275</v>
      </c>
      <c r="D772" s="1">
        <v>6</v>
      </c>
      <c r="E772" s="9" t="s">
        <v>66</v>
      </c>
      <c r="F772" s="22">
        <v>162</v>
      </c>
      <c r="G772" s="22">
        <v>154</v>
      </c>
      <c r="H772" s="1" t="str">
        <f t="shared" si="14"/>
        <v>Tue</v>
      </c>
      <c r="I772" s="8" t="s">
        <v>218</v>
      </c>
      <c r="J772" s="1">
        <v>60</v>
      </c>
    </row>
    <row r="773" spans="2:14" x14ac:dyDescent="0.2">
      <c r="B773" s="4">
        <v>42935</v>
      </c>
      <c r="C773" s="34" t="s">
        <v>317</v>
      </c>
      <c r="D773" s="1">
        <v>9</v>
      </c>
      <c r="E773" s="9" t="s">
        <v>258</v>
      </c>
      <c r="F773" s="22">
        <v>105</v>
      </c>
      <c r="G773" s="22">
        <v>152</v>
      </c>
      <c r="H773" s="1" t="str">
        <f t="shared" si="14"/>
        <v>Wed</v>
      </c>
      <c r="I773" s="8" t="s">
        <v>218</v>
      </c>
      <c r="J773" s="1">
        <v>60</v>
      </c>
    </row>
    <row r="774" spans="2:14" x14ac:dyDescent="0.2">
      <c r="B774" s="4">
        <v>42936</v>
      </c>
      <c r="C774" s="34" t="s">
        <v>317</v>
      </c>
      <c r="D774" s="1">
        <v>6</v>
      </c>
      <c r="E774" s="9" t="s">
        <v>14</v>
      </c>
      <c r="F774" s="22">
        <v>156</v>
      </c>
      <c r="G774" s="22">
        <v>138</v>
      </c>
      <c r="H774" s="1" t="str">
        <f t="shared" si="14"/>
        <v>Thu</v>
      </c>
      <c r="I774" s="8" t="s">
        <v>218</v>
      </c>
      <c r="J774" s="1">
        <v>60</v>
      </c>
    </row>
    <row r="775" spans="2:14" x14ac:dyDescent="0.2">
      <c r="B775" s="4">
        <v>42937</v>
      </c>
      <c r="C775" s="34" t="s">
        <v>275</v>
      </c>
      <c r="D775" s="1">
        <v>9</v>
      </c>
      <c r="E775" s="9" t="s">
        <v>124</v>
      </c>
      <c r="F775" s="22">
        <v>100</v>
      </c>
      <c r="G775" s="22">
        <v>161</v>
      </c>
      <c r="H775" s="1" t="str">
        <f t="shared" si="14"/>
        <v>Fri</v>
      </c>
      <c r="I775" s="8" t="s">
        <v>218</v>
      </c>
      <c r="J775" s="1">
        <v>60</v>
      </c>
    </row>
    <row r="776" spans="2:14" x14ac:dyDescent="0.2">
      <c r="B776" s="4">
        <v>42938</v>
      </c>
      <c r="C776" s="34" t="s">
        <v>317</v>
      </c>
      <c r="D776" s="1">
        <v>15</v>
      </c>
      <c r="E776" s="9" t="s">
        <v>153</v>
      </c>
      <c r="F776" s="22">
        <v>430</v>
      </c>
      <c r="G776" s="22">
        <v>164</v>
      </c>
      <c r="H776" s="1" t="str">
        <f t="shared" si="14"/>
        <v>Sat</v>
      </c>
      <c r="I776" s="8" t="s">
        <v>218</v>
      </c>
      <c r="J776" s="1">
        <v>60</v>
      </c>
    </row>
    <row r="777" spans="2:14" x14ac:dyDescent="0.2">
      <c r="B777" s="4">
        <v>42940</v>
      </c>
      <c r="C777" s="34" t="s">
        <v>317</v>
      </c>
      <c r="D777" s="1">
        <v>9</v>
      </c>
      <c r="E777" s="9" t="s">
        <v>118</v>
      </c>
      <c r="F777" s="22">
        <v>478</v>
      </c>
      <c r="G777" s="22">
        <v>172</v>
      </c>
      <c r="H777" s="1" t="str">
        <f t="shared" si="14"/>
        <v>Mon</v>
      </c>
      <c r="I777" s="8" t="s">
        <v>219</v>
      </c>
      <c r="J777" s="1">
        <v>60</v>
      </c>
    </row>
    <row r="778" spans="2:14" x14ac:dyDescent="0.2">
      <c r="B778" s="4">
        <v>42941</v>
      </c>
      <c r="C778" s="34" t="s">
        <v>275</v>
      </c>
      <c r="D778" s="1">
        <v>6</v>
      </c>
      <c r="E778" s="9" t="s">
        <v>154</v>
      </c>
      <c r="F778" s="22">
        <v>167</v>
      </c>
      <c r="G778" s="22">
        <v>145</v>
      </c>
      <c r="H778" s="1" t="str">
        <f t="shared" si="14"/>
        <v>Tue</v>
      </c>
      <c r="I778" s="8" t="s">
        <v>219</v>
      </c>
      <c r="J778" s="1">
        <v>60</v>
      </c>
    </row>
    <row r="779" spans="2:14" x14ac:dyDescent="0.2">
      <c r="B779" s="4">
        <v>42942</v>
      </c>
      <c r="C779" s="34" t="s">
        <v>317</v>
      </c>
      <c r="D779" s="1">
        <v>9</v>
      </c>
      <c r="E779" s="9" t="s">
        <v>260</v>
      </c>
      <c r="F779" s="22">
        <v>131</v>
      </c>
      <c r="G779" s="22">
        <v>176</v>
      </c>
      <c r="H779" s="1" t="str">
        <f t="shared" si="14"/>
        <v>Wed</v>
      </c>
      <c r="I779" s="8" t="s">
        <v>219</v>
      </c>
      <c r="J779" s="1">
        <v>60</v>
      </c>
    </row>
    <row r="780" spans="2:14" x14ac:dyDescent="0.2">
      <c r="B780" s="4">
        <v>42943</v>
      </c>
      <c r="C780" s="34" t="s">
        <v>275</v>
      </c>
      <c r="D780" s="1">
        <v>6</v>
      </c>
      <c r="E780" s="9" t="s">
        <v>104</v>
      </c>
      <c r="F780" s="22">
        <v>139</v>
      </c>
      <c r="G780" s="22">
        <v>175</v>
      </c>
      <c r="H780" s="1" t="str">
        <f t="shared" si="14"/>
        <v>Thu</v>
      </c>
      <c r="I780" s="8" t="s">
        <v>219</v>
      </c>
      <c r="J780" s="1">
        <v>60</v>
      </c>
    </row>
    <row r="781" spans="2:14" x14ac:dyDescent="0.2">
      <c r="B781" s="4">
        <v>42944</v>
      </c>
      <c r="C781" s="34" t="s">
        <v>317</v>
      </c>
      <c r="D781" s="1">
        <v>9</v>
      </c>
      <c r="E781" s="9" t="s">
        <v>255</v>
      </c>
      <c r="F781" s="22">
        <v>187</v>
      </c>
      <c r="G781" s="22">
        <v>173</v>
      </c>
      <c r="H781" s="1" t="str">
        <f t="shared" si="14"/>
        <v>Fri</v>
      </c>
      <c r="I781" s="8" t="s">
        <v>219</v>
      </c>
      <c r="J781" s="1">
        <v>60</v>
      </c>
    </row>
    <row r="782" spans="2:14" x14ac:dyDescent="0.2">
      <c r="B782" s="4">
        <v>42945</v>
      </c>
      <c r="C782" s="8" t="s">
        <v>275</v>
      </c>
      <c r="D782" s="1">
        <v>16</v>
      </c>
      <c r="E782" s="9" t="s">
        <v>54</v>
      </c>
      <c r="F782" s="22">
        <v>364</v>
      </c>
      <c r="G782" s="22">
        <v>178</v>
      </c>
      <c r="H782" s="1" t="str">
        <f t="shared" si="14"/>
        <v>Sat</v>
      </c>
      <c r="I782" s="8" t="s">
        <v>219</v>
      </c>
      <c r="J782" s="1">
        <v>60</v>
      </c>
      <c r="K782" s="8" t="s">
        <v>1083</v>
      </c>
      <c r="L782" s="1">
        <v>70</v>
      </c>
      <c r="M782" s="8" t="s">
        <v>292</v>
      </c>
      <c r="N782" s="1">
        <v>1</v>
      </c>
    </row>
    <row r="783" spans="2:14" x14ac:dyDescent="0.2">
      <c r="B783" s="4">
        <v>42947</v>
      </c>
      <c r="C783" s="8" t="s">
        <v>275</v>
      </c>
      <c r="D783" s="1">
        <v>9</v>
      </c>
      <c r="E783" s="9" t="s">
        <v>61</v>
      </c>
      <c r="F783" s="22">
        <v>319</v>
      </c>
      <c r="G783" s="22">
        <v>171</v>
      </c>
      <c r="H783" s="1" t="str">
        <f t="shared" si="14"/>
        <v>Mon</v>
      </c>
      <c r="I783" s="8" t="s">
        <v>306</v>
      </c>
      <c r="J783" s="1">
        <v>60</v>
      </c>
    </row>
    <row r="784" spans="2:14" x14ac:dyDescent="0.2">
      <c r="B784" s="4">
        <v>42948</v>
      </c>
      <c r="C784" s="34" t="s">
        <v>317</v>
      </c>
      <c r="D784" s="1">
        <v>6</v>
      </c>
      <c r="E784" s="9" t="s">
        <v>154</v>
      </c>
      <c r="F784" s="22">
        <v>151</v>
      </c>
      <c r="G784" s="22">
        <v>172</v>
      </c>
      <c r="H784" s="1" t="str">
        <f t="shared" si="14"/>
        <v>Tue</v>
      </c>
      <c r="I784" s="8" t="s">
        <v>306</v>
      </c>
      <c r="J784" s="1">
        <v>60</v>
      </c>
    </row>
    <row r="785" spans="2:14" x14ac:dyDescent="0.2">
      <c r="B785" s="4">
        <v>42949</v>
      </c>
      <c r="C785" s="8" t="s">
        <v>275</v>
      </c>
      <c r="D785" s="1">
        <v>9</v>
      </c>
      <c r="E785" s="9" t="s">
        <v>17</v>
      </c>
      <c r="F785" s="22">
        <v>130</v>
      </c>
      <c r="G785" s="22">
        <v>164</v>
      </c>
      <c r="H785" s="1" t="str">
        <f t="shared" si="14"/>
        <v>Wed</v>
      </c>
      <c r="I785" s="8" t="s">
        <v>306</v>
      </c>
      <c r="J785" s="1">
        <v>60</v>
      </c>
      <c r="K785" s="8" t="s">
        <v>172</v>
      </c>
      <c r="L785" s="1">
        <v>80</v>
      </c>
      <c r="M785" s="8" t="s">
        <v>310</v>
      </c>
      <c r="N785" s="1">
        <v>1</v>
      </c>
    </row>
    <row r="786" spans="2:14" x14ac:dyDescent="0.2">
      <c r="B786" s="4">
        <v>42950</v>
      </c>
      <c r="C786" s="34" t="s">
        <v>317</v>
      </c>
      <c r="D786" s="1">
        <v>6</v>
      </c>
      <c r="E786" s="9" t="s">
        <v>66</v>
      </c>
      <c r="F786" s="22">
        <v>258</v>
      </c>
      <c r="G786" s="22">
        <v>170</v>
      </c>
      <c r="H786" s="1" t="str">
        <f t="shared" si="14"/>
        <v>Thu</v>
      </c>
      <c r="I786" s="8" t="s">
        <v>306</v>
      </c>
      <c r="J786" s="1">
        <v>60</v>
      </c>
    </row>
    <row r="787" spans="2:14" x14ac:dyDescent="0.2">
      <c r="B787" s="4">
        <v>42951</v>
      </c>
      <c r="C787" s="8" t="s">
        <v>275</v>
      </c>
      <c r="D787" s="1">
        <v>9</v>
      </c>
      <c r="E787" s="9" t="s">
        <v>1084</v>
      </c>
      <c r="F787" s="22">
        <v>267</v>
      </c>
      <c r="G787" s="22">
        <v>183</v>
      </c>
      <c r="H787" s="1" t="str">
        <f t="shared" si="14"/>
        <v>Fri</v>
      </c>
      <c r="I787" s="8" t="s">
        <v>306</v>
      </c>
      <c r="J787" s="1">
        <v>60</v>
      </c>
    </row>
    <row r="788" spans="2:14" x14ac:dyDescent="0.2">
      <c r="B788" s="4">
        <v>42952</v>
      </c>
      <c r="C788" s="34" t="s">
        <v>317</v>
      </c>
      <c r="D788" s="1">
        <v>16</v>
      </c>
      <c r="E788" s="9" t="s">
        <v>268</v>
      </c>
      <c r="F788" s="22">
        <v>471</v>
      </c>
      <c r="G788" s="22">
        <v>186</v>
      </c>
      <c r="H788" s="1" t="str">
        <f t="shared" si="14"/>
        <v>Sat</v>
      </c>
      <c r="I788" s="8" t="s">
        <v>306</v>
      </c>
      <c r="J788" s="1">
        <v>60</v>
      </c>
    </row>
    <row r="789" spans="2:14" x14ac:dyDescent="0.2">
      <c r="B789" s="4">
        <v>42954</v>
      </c>
      <c r="C789" s="34" t="s">
        <v>317</v>
      </c>
      <c r="D789" s="1">
        <v>9</v>
      </c>
      <c r="E789" s="9" t="s">
        <v>254</v>
      </c>
      <c r="F789" s="22">
        <v>180</v>
      </c>
      <c r="G789" s="22">
        <v>185</v>
      </c>
      <c r="H789" s="1" t="str">
        <f t="shared" si="14"/>
        <v>Mon</v>
      </c>
      <c r="I789" s="8" t="s">
        <v>312</v>
      </c>
      <c r="J789" s="1">
        <v>60</v>
      </c>
    </row>
    <row r="790" spans="2:14" x14ac:dyDescent="0.2">
      <c r="B790" s="4">
        <v>42955</v>
      </c>
      <c r="C790" s="8" t="s">
        <v>275</v>
      </c>
      <c r="D790" s="1">
        <v>6</v>
      </c>
      <c r="E790" s="9" t="s">
        <v>51</v>
      </c>
      <c r="F790" s="22">
        <v>132</v>
      </c>
      <c r="G790" s="22">
        <v>175</v>
      </c>
      <c r="H790" s="1" t="str">
        <f t="shared" si="14"/>
        <v>Tue</v>
      </c>
      <c r="I790" s="8" t="s">
        <v>312</v>
      </c>
      <c r="J790" s="1">
        <v>60</v>
      </c>
    </row>
    <row r="791" spans="2:14" x14ac:dyDescent="0.2">
      <c r="B791" s="4">
        <v>42956</v>
      </c>
      <c r="C791" s="34" t="s">
        <v>317</v>
      </c>
      <c r="D791" s="1">
        <v>10</v>
      </c>
      <c r="E791" s="9" t="s">
        <v>16</v>
      </c>
      <c r="F791" s="22">
        <v>326</v>
      </c>
      <c r="G791" s="22">
        <v>173</v>
      </c>
      <c r="H791" s="1" t="str">
        <f t="shared" si="14"/>
        <v>Wed</v>
      </c>
      <c r="I791" s="8" t="s">
        <v>312</v>
      </c>
      <c r="J791" s="1">
        <v>70</v>
      </c>
      <c r="K791" s="8" t="s">
        <v>172</v>
      </c>
      <c r="L791" s="1">
        <v>80</v>
      </c>
      <c r="M791" s="8" t="s">
        <v>1085</v>
      </c>
      <c r="N791" s="1">
        <v>1</v>
      </c>
    </row>
    <row r="792" spans="2:14" x14ac:dyDescent="0.2">
      <c r="B792" s="4">
        <v>42957</v>
      </c>
      <c r="C792" s="8" t="s">
        <v>275</v>
      </c>
      <c r="D792" s="1">
        <v>6</v>
      </c>
      <c r="E792" s="9" t="s">
        <v>265</v>
      </c>
      <c r="F792" s="22">
        <v>283</v>
      </c>
      <c r="G792" s="22">
        <v>165</v>
      </c>
      <c r="H792" s="1" t="str">
        <f t="shared" si="14"/>
        <v>Thu</v>
      </c>
      <c r="I792" s="8" t="s">
        <v>312</v>
      </c>
      <c r="J792" s="1">
        <v>60</v>
      </c>
    </row>
    <row r="793" spans="2:14" x14ac:dyDescent="0.2">
      <c r="B793" s="4">
        <v>42958</v>
      </c>
      <c r="C793" s="34" t="s">
        <v>317</v>
      </c>
      <c r="D793" s="1">
        <v>9</v>
      </c>
      <c r="E793" s="9" t="s">
        <v>122</v>
      </c>
      <c r="F793" s="22">
        <v>131</v>
      </c>
      <c r="G793" s="22">
        <v>183</v>
      </c>
      <c r="H793" s="1" t="str">
        <f t="shared" si="14"/>
        <v>Fri</v>
      </c>
      <c r="I793" s="8" t="s">
        <v>312</v>
      </c>
      <c r="J793" s="1">
        <v>60</v>
      </c>
    </row>
    <row r="794" spans="2:14" x14ac:dyDescent="0.2">
      <c r="B794" s="4">
        <v>42959</v>
      </c>
      <c r="C794" s="8" t="s">
        <v>275</v>
      </c>
      <c r="D794" s="1">
        <v>13</v>
      </c>
      <c r="E794" s="9" t="s">
        <v>1086</v>
      </c>
      <c r="F794" s="22">
        <v>970</v>
      </c>
      <c r="G794" s="22">
        <v>182</v>
      </c>
      <c r="H794" s="1" t="str">
        <f t="shared" si="14"/>
        <v>Sat</v>
      </c>
      <c r="I794" s="8" t="s">
        <v>312</v>
      </c>
      <c r="J794" s="1">
        <v>60</v>
      </c>
    </row>
    <row r="795" spans="2:14" x14ac:dyDescent="0.2">
      <c r="B795" s="4">
        <v>42961</v>
      </c>
      <c r="C795" s="8" t="s">
        <v>275</v>
      </c>
      <c r="D795" s="1">
        <v>8</v>
      </c>
      <c r="E795" s="9" t="s">
        <v>221</v>
      </c>
      <c r="F795" s="22">
        <v>121</v>
      </c>
      <c r="G795" s="22">
        <v>187</v>
      </c>
      <c r="H795" s="1" t="str">
        <f t="shared" si="14"/>
        <v>Mon</v>
      </c>
      <c r="I795" s="8" t="s">
        <v>313</v>
      </c>
      <c r="J795" s="1">
        <v>60</v>
      </c>
    </row>
    <row r="796" spans="2:14" x14ac:dyDescent="0.2">
      <c r="B796" s="4">
        <v>42963</v>
      </c>
      <c r="C796" s="34" t="s">
        <v>317</v>
      </c>
      <c r="D796" s="1">
        <v>7</v>
      </c>
      <c r="E796" s="9" t="s">
        <v>134</v>
      </c>
      <c r="F796" s="22">
        <v>205</v>
      </c>
      <c r="G796" s="22">
        <v>181</v>
      </c>
      <c r="H796" s="1" t="str">
        <f t="shared" si="14"/>
        <v>Wed</v>
      </c>
      <c r="I796" s="8" t="s">
        <v>313</v>
      </c>
      <c r="J796" s="1">
        <v>60</v>
      </c>
    </row>
    <row r="797" spans="2:14" x14ac:dyDescent="0.2">
      <c r="B797" s="4">
        <v>42965</v>
      </c>
      <c r="C797" s="8" t="s">
        <v>275</v>
      </c>
      <c r="D797" s="1">
        <v>8</v>
      </c>
      <c r="E797" s="9" t="s">
        <v>265</v>
      </c>
      <c r="F797" s="22">
        <v>112</v>
      </c>
      <c r="G797" s="22">
        <v>188</v>
      </c>
      <c r="H797" s="1" t="str">
        <f t="shared" si="14"/>
        <v>Fri</v>
      </c>
      <c r="I797" s="8" t="s">
        <v>313</v>
      </c>
      <c r="J797" s="1">
        <v>60</v>
      </c>
    </row>
    <row r="798" spans="2:14" x14ac:dyDescent="0.2">
      <c r="B798" s="4">
        <v>42966</v>
      </c>
      <c r="C798" s="34" t="s">
        <v>317</v>
      </c>
      <c r="D798" s="1">
        <v>12</v>
      </c>
      <c r="E798" s="9" t="s">
        <v>99</v>
      </c>
      <c r="F798" s="22">
        <v>282</v>
      </c>
      <c r="G798" s="22">
        <v>189</v>
      </c>
      <c r="H798" s="1" t="str">
        <f t="shared" si="14"/>
        <v>Sat</v>
      </c>
      <c r="I798" s="8" t="s">
        <v>313</v>
      </c>
      <c r="J798" s="1">
        <v>60</v>
      </c>
    </row>
    <row r="799" spans="2:14" x14ac:dyDescent="0.2">
      <c r="B799" s="4">
        <v>42968</v>
      </c>
      <c r="C799" s="34" t="s">
        <v>317</v>
      </c>
      <c r="D799" s="1">
        <v>10</v>
      </c>
      <c r="E799" s="9" t="s">
        <v>136</v>
      </c>
      <c r="F799" s="22">
        <v>209</v>
      </c>
      <c r="G799" s="22">
        <v>184</v>
      </c>
      <c r="H799" s="1" t="str">
        <f t="shared" si="14"/>
        <v>Mon</v>
      </c>
      <c r="I799" s="8" t="s">
        <v>217</v>
      </c>
      <c r="J799" s="1">
        <v>70</v>
      </c>
    </row>
    <row r="800" spans="2:14" x14ac:dyDescent="0.2">
      <c r="B800" s="4">
        <v>42969</v>
      </c>
      <c r="C800" s="8" t="s">
        <v>275</v>
      </c>
      <c r="D800" s="1">
        <v>6</v>
      </c>
      <c r="E800" s="9" t="s">
        <v>1087</v>
      </c>
      <c r="F800" s="22">
        <v>93</v>
      </c>
      <c r="G800" s="22">
        <v>183</v>
      </c>
      <c r="H800" s="1" t="str">
        <f t="shared" si="14"/>
        <v>Tue</v>
      </c>
      <c r="I800" s="8" t="s">
        <v>217</v>
      </c>
      <c r="J800" s="1">
        <v>60</v>
      </c>
    </row>
    <row r="801" spans="2:10" x14ac:dyDescent="0.2">
      <c r="B801" s="4">
        <v>42970</v>
      </c>
      <c r="C801" s="34" t="s">
        <v>317</v>
      </c>
      <c r="D801" s="1">
        <v>8</v>
      </c>
      <c r="E801" s="9" t="s">
        <v>150</v>
      </c>
      <c r="F801" s="22">
        <v>144</v>
      </c>
      <c r="G801" s="22">
        <v>178</v>
      </c>
      <c r="H801" s="1" t="str">
        <f t="shared" si="14"/>
        <v>Wed</v>
      </c>
      <c r="I801" s="8" t="s">
        <v>217</v>
      </c>
      <c r="J801" s="1">
        <v>70</v>
      </c>
    </row>
    <row r="802" spans="2:10" x14ac:dyDescent="0.2">
      <c r="B802" s="4">
        <v>42972</v>
      </c>
      <c r="C802" s="8" t="s">
        <v>1088</v>
      </c>
      <c r="D802" s="1">
        <v>10</v>
      </c>
      <c r="E802" s="9" t="s">
        <v>28</v>
      </c>
      <c r="F802" s="22">
        <v>132</v>
      </c>
      <c r="G802" s="22">
        <v>189</v>
      </c>
      <c r="H802" s="1" t="str">
        <f t="shared" si="14"/>
        <v>Fri</v>
      </c>
      <c r="I802" s="8" t="s">
        <v>217</v>
      </c>
      <c r="J802" s="1">
        <v>70</v>
      </c>
    </row>
    <row r="803" spans="2:10" x14ac:dyDescent="0.2">
      <c r="B803" s="4">
        <v>42973</v>
      </c>
      <c r="C803" s="34" t="s">
        <v>317</v>
      </c>
      <c r="D803" s="1">
        <v>17</v>
      </c>
      <c r="E803" s="9" t="s">
        <v>261</v>
      </c>
      <c r="F803" s="22">
        <v>425</v>
      </c>
      <c r="G803" s="22">
        <v>181</v>
      </c>
      <c r="H803" s="1" t="str">
        <f t="shared" si="14"/>
        <v>Sat</v>
      </c>
      <c r="I803" s="8" t="s">
        <v>217</v>
      </c>
      <c r="J803" s="1">
        <v>60</v>
      </c>
    </row>
    <row r="804" spans="2:10" x14ac:dyDescent="0.2">
      <c r="B804" s="4">
        <v>42975</v>
      </c>
      <c r="C804" s="8" t="s">
        <v>275</v>
      </c>
      <c r="D804" s="1">
        <v>10</v>
      </c>
      <c r="E804" s="9" t="s">
        <v>122</v>
      </c>
      <c r="F804" s="22">
        <v>503</v>
      </c>
      <c r="G804" s="22">
        <v>186</v>
      </c>
      <c r="H804" s="1" t="str">
        <f t="shared" si="14"/>
        <v>Mon</v>
      </c>
      <c r="I804" s="8" t="s">
        <v>218</v>
      </c>
      <c r="J804" s="1">
        <v>60</v>
      </c>
    </row>
    <row r="805" spans="2:10" x14ac:dyDescent="0.2">
      <c r="B805" s="4">
        <v>42977</v>
      </c>
      <c r="C805" s="34" t="s">
        <v>317</v>
      </c>
      <c r="D805" s="1">
        <v>6</v>
      </c>
      <c r="E805" s="9" t="s">
        <v>141</v>
      </c>
      <c r="F805" s="22">
        <v>267</v>
      </c>
      <c r="G805" s="22">
        <v>172</v>
      </c>
      <c r="H805" s="1" t="str">
        <f t="shared" si="14"/>
        <v>Wed</v>
      </c>
      <c r="I805" s="8" t="s">
        <v>218</v>
      </c>
      <c r="J805" s="1">
        <v>80</v>
      </c>
    </row>
    <row r="806" spans="2:10" x14ac:dyDescent="0.2">
      <c r="B806" s="4">
        <v>42979</v>
      </c>
      <c r="C806" s="8" t="s">
        <v>275</v>
      </c>
      <c r="D806" s="1">
        <v>8</v>
      </c>
      <c r="E806" s="9" t="s">
        <v>241</v>
      </c>
      <c r="F806" s="22">
        <v>132</v>
      </c>
      <c r="G806" s="22">
        <v>189</v>
      </c>
      <c r="H806" s="1" t="str">
        <f t="shared" si="14"/>
        <v>Fri</v>
      </c>
      <c r="I806" s="8" t="s">
        <v>218</v>
      </c>
      <c r="J806" s="1">
        <v>70</v>
      </c>
    </row>
    <row r="807" spans="2:10" x14ac:dyDescent="0.2">
      <c r="B807" s="4">
        <v>42980</v>
      </c>
      <c r="C807" s="34" t="s">
        <v>317</v>
      </c>
      <c r="D807" s="1">
        <v>17</v>
      </c>
      <c r="E807" s="9" t="s">
        <v>114</v>
      </c>
      <c r="F807" s="22">
        <v>404</v>
      </c>
      <c r="G807" s="22">
        <v>186</v>
      </c>
      <c r="H807" s="1" t="str">
        <f t="shared" si="14"/>
        <v>Sat</v>
      </c>
      <c r="I807" s="8" t="s">
        <v>218</v>
      </c>
      <c r="J807" s="1">
        <v>60</v>
      </c>
    </row>
    <row r="808" spans="2:10" x14ac:dyDescent="0.2">
      <c r="B808" s="4">
        <v>42982</v>
      </c>
      <c r="C808" s="34" t="s">
        <v>317</v>
      </c>
      <c r="D808" s="1">
        <v>10</v>
      </c>
      <c r="E808" s="9" t="s">
        <v>108</v>
      </c>
      <c r="F808" s="22">
        <v>361</v>
      </c>
      <c r="G808" s="22">
        <v>180</v>
      </c>
      <c r="H808" s="1" t="str">
        <f t="shared" si="14"/>
        <v>Mon</v>
      </c>
      <c r="I808" s="8" t="s">
        <v>219</v>
      </c>
      <c r="J808" s="1">
        <v>70</v>
      </c>
    </row>
    <row r="809" spans="2:10" x14ac:dyDescent="0.2">
      <c r="B809" s="4">
        <v>42984</v>
      </c>
      <c r="C809" s="8" t="s">
        <v>275</v>
      </c>
      <c r="D809" s="1">
        <v>10</v>
      </c>
      <c r="E809" s="9" t="s">
        <v>108</v>
      </c>
      <c r="F809" s="22">
        <v>100</v>
      </c>
      <c r="G809" s="22">
        <v>180</v>
      </c>
      <c r="H809" s="1" t="str">
        <f t="shared" si="14"/>
        <v>Wed</v>
      </c>
      <c r="I809" s="8" t="s">
        <v>219</v>
      </c>
      <c r="J809" s="1">
        <v>70</v>
      </c>
    </row>
    <row r="810" spans="2:10" x14ac:dyDescent="0.2">
      <c r="B810" s="4">
        <v>42987</v>
      </c>
      <c r="C810" s="8" t="s">
        <v>275</v>
      </c>
      <c r="D810" s="1">
        <v>17</v>
      </c>
      <c r="E810" s="9" t="s">
        <v>128</v>
      </c>
      <c r="F810" s="22">
        <v>411</v>
      </c>
      <c r="G810" s="22">
        <v>184</v>
      </c>
      <c r="H810" s="1" t="str">
        <f t="shared" si="14"/>
        <v>Sat</v>
      </c>
      <c r="I810" s="8" t="s">
        <v>219</v>
      </c>
      <c r="J810" s="1">
        <v>60</v>
      </c>
    </row>
    <row r="811" spans="2:10" x14ac:dyDescent="0.2">
      <c r="B811" s="4">
        <v>42989</v>
      </c>
      <c r="C811" s="34" t="s">
        <v>317</v>
      </c>
      <c r="D811" s="1">
        <v>10</v>
      </c>
      <c r="E811" s="9" t="s">
        <v>277</v>
      </c>
      <c r="F811" s="22">
        <v>144</v>
      </c>
      <c r="G811" s="22">
        <v>176</v>
      </c>
      <c r="H811" s="1" t="str">
        <f t="shared" si="14"/>
        <v>Mon</v>
      </c>
      <c r="I811" s="8" t="s">
        <v>306</v>
      </c>
      <c r="J811" s="1">
        <v>60</v>
      </c>
    </row>
    <row r="812" spans="2:10" x14ac:dyDescent="0.2">
      <c r="B812" s="4">
        <v>42991</v>
      </c>
      <c r="C812" s="8" t="s">
        <v>275</v>
      </c>
      <c r="D812" s="1">
        <v>10</v>
      </c>
      <c r="E812" s="9" t="s">
        <v>117</v>
      </c>
      <c r="F812" s="22">
        <v>181</v>
      </c>
      <c r="G812" s="22">
        <v>151</v>
      </c>
      <c r="H812" s="1" t="str">
        <f t="shared" si="14"/>
        <v>Wed</v>
      </c>
      <c r="I812" s="8" t="s">
        <v>306</v>
      </c>
      <c r="J812" s="1">
        <v>75</v>
      </c>
    </row>
    <row r="813" spans="2:10" x14ac:dyDescent="0.2">
      <c r="B813" s="4">
        <v>42993</v>
      </c>
      <c r="C813" s="8" t="s">
        <v>1090</v>
      </c>
      <c r="D813" s="1">
        <v>10</v>
      </c>
      <c r="E813" s="9" t="s">
        <v>277</v>
      </c>
      <c r="F813" s="22">
        <v>144</v>
      </c>
      <c r="G813" s="22">
        <v>177</v>
      </c>
      <c r="H813" s="1" t="str">
        <f t="shared" si="14"/>
        <v>Fri</v>
      </c>
      <c r="I813" s="8" t="s">
        <v>306</v>
      </c>
      <c r="J813" s="1">
        <v>60</v>
      </c>
    </row>
    <row r="814" spans="2:10" x14ac:dyDescent="0.2">
      <c r="B814" s="4">
        <v>42994</v>
      </c>
      <c r="C814" s="34" t="s">
        <v>317</v>
      </c>
      <c r="D814" s="1">
        <v>17</v>
      </c>
      <c r="E814" s="9" t="s">
        <v>254</v>
      </c>
      <c r="F814" s="22">
        <v>426</v>
      </c>
      <c r="G814" s="22">
        <v>182</v>
      </c>
      <c r="H814" s="1" t="str">
        <f t="shared" si="14"/>
        <v>Sat</v>
      </c>
      <c r="I814" s="8" t="s">
        <v>306</v>
      </c>
      <c r="J814" s="1">
        <v>60</v>
      </c>
    </row>
    <row r="815" spans="2:10" x14ac:dyDescent="0.2">
      <c r="B815" s="4">
        <v>42996</v>
      </c>
      <c r="C815" s="8" t="s">
        <v>275</v>
      </c>
      <c r="D815" s="1">
        <v>9</v>
      </c>
      <c r="E815" s="9" t="s">
        <v>134</v>
      </c>
      <c r="F815" s="22">
        <v>98</v>
      </c>
      <c r="G815" s="22">
        <v>171</v>
      </c>
      <c r="H815" s="1" t="str">
        <f t="shared" si="14"/>
        <v>Mon</v>
      </c>
      <c r="I815" s="8" t="s">
        <v>313</v>
      </c>
      <c r="J815" s="1">
        <v>60</v>
      </c>
    </row>
    <row r="816" spans="2:10" x14ac:dyDescent="0.2">
      <c r="B816" s="4">
        <v>42998</v>
      </c>
      <c r="C816" s="34" t="s">
        <v>317</v>
      </c>
      <c r="D816" s="1">
        <v>6</v>
      </c>
      <c r="E816" s="9" t="s">
        <v>121</v>
      </c>
      <c r="F816" s="22">
        <v>96</v>
      </c>
      <c r="G816" s="22">
        <v>166</v>
      </c>
      <c r="H816" s="1" t="str">
        <f t="shared" si="14"/>
        <v>Wed</v>
      </c>
      <c r="I816" s="8" t="s">
        <v>313</v>
      </c>
      <c r="J816" s="1">
        <v>65</v>
      </c>
    </row>
    <row r="817" spans="2:10" x14ac:dyDescent="0.2">
      <c r="B817" s="4">
        <v>42999</v>
      </c>
      <c r="C817" s="8" t="s">
        <v>275</v>
      </c>
      <c r="D817" s="1">
        <v>10</v>
      </c>
      <c r="E817" s="9" t="s">
        <v>155</v>
      </c>
      <c r="F817" s="22">
        <v>223</v>
      </c>
      <c r="G817" s="22">
        <v>168</v>
      </c>
      <c r="H817" s="1" t="str">
        <f t="shared" si="14"/>
        <v>Thu</v>
      </c>
      <c r="I817" s="8" t="s">
        <v>313</v>
      </c>
      <c r="J817" s="1">
        <v>65</v>
      </c>
    </row>
    <row r="818" spans="2:10" x14ac:dyDescent="0.2">
      <c r="B818" s="4">
        <v>43003</v>
      </c>
      <c r="C818" s="34" t="s">
        <v>317</v>
      </c>
      <c r="D818" s="1">
        <v>10</v>
      </c>
      <c r="E818" s="9" t="s">
        <v>16</v>
      </c>
      <c r="F818" s="22">
        <v>161</v>
      </c>
      <c r="G818" s="22">
        <v>178</v>
      </c>
      <c r="H818" s="1" t="str">
        <f t="shared" si="14"/>
        <v>Mon</v>
      </c>
      <c r="I818" s="8" t="s">
        <v>217</v>
      </c>
      <c r="J818" s="1">
        <v>65</v>
      </c>
    </row>
    <row r="819" spans="2:10" x14ac:dyDescent="0.2">
      <c r="B819" s="4">
        <v>43005</v>
      </c>
      <c r="C819" s="34" t="s">
        <v>317</v>
      </c>
      <c r="D819" s="1">
        <v>10</v>
      </c>
      <c r="E819" s="9" t="s">
        <v>247</v>
      </c>
      <c r="F819" s="22">
        <v>367</v>
      </c>
      <c r="G819" s="22">
        <v>177</v>
      </c>
      <c r="H819" s="1" t="str">
        <f t="shared" si="14"/>
        <v>Wed</v>
      </c>
      <c r="I819" s="8" t="s">
        <v>217</v>
      </c>
      <c r="J819" s="1">
        <v>65</v>
      </c>
    </row>
    <row r="820" spans="2:10" x14ac:dyDescent="0.2">
      <c r="B820" s="4">
        <v>43007</v>
      </c>
      <c r="C820" s="8" t="s">
        <v>275</v>
      </c>
      <c r="D820" s="1">
        <v>10</v>
      </c>
      <c r="E820" s="9" t="s">
        <v>277</v>
      </c>
      <c r="F820" s="22">
        <v>143</v>
      </c>
      <c r="G820" s="22">
        <v>176</v>
      </c>
      <c r="H820" s="1" t="str">
        <f t="shared" si="14"/>
        <v>Fri</v>
      </c>
      <c r="I820" s="8" t="s">
        <v>217</v>
      </c>
      <c r="J820" s="1">
        <v>60</v>
      </c>
    </row>
    <row r="821" spans="2:10" x14ac:dyDescent="0.2">
      <c r="B821" s="4">
        <v>43008</v>
      </c>
      <c r="C821" s="34" t="s">
        <v>317</v>
      </c>
      <c r="D821" s="1">
        <v>18</v>
      </c>
      <c r="E821" s="9" t="s">
        <v>113</v>
      </c>
      <c r="F821" s="22">
        <v>1002</v>
      </c>
      <c r="G821" s="22">
        <v>186</v>
      </c>
      <c r="H821" s="1" t="str">
        <f t="shared" si="14"/>
        <v>Sat</v>
      </c>
      <c r="I821" s="8" t="s">
        <v>217</v>
      </c>
      <c r="J821" s="1">
        <v>60</v>
      </c>
    </row>
    <row r="822" spans="2:10" x14ac:dyDescent="0.2">
      <c r="B822" s="4">
        <v>43010</v>
      </c>
      <c r="C822" s="8" t="s">
        <v>275</v>
      </c>
      <c r="D822" s="1">
        <v>6</v>
      </c>
      <c r="E822" s="9" t="s">
        <v>54</v>
      </c>
      <c r="F822" s="22">
        <v>98</v>
      </c>
      <c r="G822" s="22">
        <v>172</v>
      </c>
      <c r="H822" s="1" t="str">
        <f t="shared" si="14"/>
        <v>Mon</v>
      </c>
      <c r="I822" s="8" t="s">
        <v>218</v>
      </c>
      <c r="J822" s="1">
        <v>60</v>
      </c>
    </row>
    <row r="823" spans="2:10" x14ac:dyDescent="0.2">
      <c r="B823" s="4">
        <v>43012</v>
      </c>
      <c r="C823" s="8" t="s">
        <v>1088</v>
      </c>
      <c r="D823" s="1">
        <v>10</v>
      </c>
      <c r="E823" s="9" t="s">
        <v>47</v>
      </c>
      <c r="F823" s="22">
        <v>151</v>
      </c>
      <c r="G823" s="22">
        <v>162</v>
      </c>
      <c r="H823" s="1" t="str">
        <f t="shared" si="14"/>
        <v>Wed</v>
      </c>
      <c r="I823" s="8" t="s">
        <v>218</v>
      </c>
      <c r="J823" s="1">
        <v>65</v>
      </c>
    </row>
    <row r="824" spans="2:10" x14ac:dyDescent="0.2">
      <c r="B824" s="4">
        <v>43014</v>
      </c>
      <c r="C824" s="34" t="s">
        <v>317</v>
      </c>
      <c r="D824" s="1">
        <v>10</v>
      </c>
      <c r="E824" s="9" t="s">
        <v>154</v>
      </c>
      <c r="F824" s="22">
        <v>434</v>
      </c>
      <c r="G824" s="22">
        <v>162</v>
      </c>
      <c r="H824" s="1" t="str">
        <f t="shared" si="14"/>
        <v>Fri</v>
      </c>
      <c r="I824" s="8" t="s">
        <v>218</v>
      </c>
      <c r="J824" s="1">
        <v>60</v>
      </c>
    </row>
    <row r="825" spans="2:10" x14ac:dyDescent="0.2">
      <c r="B825" s="4">
        <v>43015</v>
      </c>
      <c r="C825" s="8" t="s">
        <v>1088</v>
      </c>
      <c r="D825" s="1">
        <v>18</v>
      </c>
      <c r="E825" s="9" t="s">
        <v>128</v>
      </c>
      <c r="F825" s="22">
        <v>485</v>
      </c>
      <c r="G825" s="22">
        <v>184</v>
      </c>
      <c r="H825" s="1" t="str">
        <f t="shared" si="14"/>
        <v>Sat</v>
      </c>
      <c r="I825" s="8" t="s">
        <v>218</v>
      </c>
      <c r="J825" s="1">
        <v>60</v>
      </c>
    </row>
    <row r="826" spans="2:10" x14ac:dyDescent="0.2">
      <c r="B826" s="4">
        <v>43017</v>
      </c>
      <c r="C826" s="8" t="s">
        <v>1088</v>
      </c>
      <c r="D826" s="1">
        <v>10</v>
      </c>
      <c r="E826" s="9" t="s">
        <v>57</v>
      </c>
      <c r="F826" s="22">
        <v>461</v>
      </c>
      <c r="G826" s="22">
        <v>176</v>
      </c>
      <c r="H826" s="1" t="str">
        <f t="shared" si="14"/>
        <v>Mon</v>
      </c>
      <c r="I826" s="8" t="s">
        <v>219</v>
      </c>
      <c r="J826" s="1">
        <v>60</v>
      </c>
    </row>
    <row r="827" spans="2:10" x14ac:dyDescent="0.2">
      <c r="B827" s="4">
        <v>43019</v>
      </c>
      <c r="C827" s="34" t="s">
        <v>317</v>
      </c>
      <c r="D827" s="1">
        <v>8</v>
      </c>
      <c r="E827" s="9" t="s">
        <v>107</v>
      </c>
      <c r="F827" s="22">
        <v>98</v>
      </c>
      <c r="G827" s="22">
        <v>170</v>
      </c>
      <c r="H827" s="1" t="str">
        <f t="shared" si="14"/>
        <v>Wed</v>
      </c>
      <c r="I827" s="8" t="s">
        <v>219</v>
      </c>
      <c r="J827" s="1">
        <v>65</v>
      </c>
    </row>
    <row r="828" spans="2:10" x14ac:dyDescent="0.2">
      <c r="B828" s="4">
        <v>43021</v>
      </c>
      <c r="C828" s="8" t="s">
        <v>1088</v>
      </c>
      <c r="D828" s="1">
        <v>10</v>
      </c>
      <c r="E828" s="9" t="s">
        <v>254</v>
      </c>
      <c r="F828" s="22">
        <v>395</v>
      </c>
      <c r="G828" s="22">
        <v>187</v>
      </c>
      <c r="H828" s="1" t="str">
        <f t="shared" si="14"/>
        <v>Fri</v>
      </c>
      <c r="I828" s="8" t="s">
        <v>219</v>
      </c>
      <c r="J828" s="1">
        <v>60</v>
      </c>
    </row>
    <row r="829" spans="2:10" x14ac:dyDescent="0.2">
      <c r="B829" s="4">
        <v>43022</v>
      </c>
      <c r="C829" s="34" t="s">
        <v>317</v>
      </c>
      <c r="D829" s="1">
        <v>20</v>
      </c>
      <c r="E829" s="9" t="s">
        <v>259</v>
      </c>
      <c r="F829" s="22">
        <v>537</v>
      </c>
      <c r="G829" s="22">
        <v>189</v>
      </c>
      <c r="H829" s="1" t="str">
        <f t="shared" si="14"/>
        <v>Sat</v>
      </c>
      <c r="I829" s="8" t="s">
        <v>219</v>
      </c>
      <c r="J829" s="1">
        <v>60</v>
      </c>
    </row>
    <row r="830" spans="2:10" x14ac:dyDescent="0.2">
      <c r="B830" s="4">
        <v>43024</v>
      </c>
      <c r="C830" s="8" t="s">
        <v>1092</v>
      </c>
      <c r="D830" s="1">
        <v>10</v>
      </c>
      <c r="E830" s="9" t="s">
        <v>22</v>
      </c>
      <c r="F830" s="22">
        <v>146</v>
      </c>
      <c r="G830" s="22">
        <v>174</v>
      </c>
      <c r="H830" s="1" t="str">
        <f t="shared" si="14"/>
        <v>Mon</v>
      </c>
      <c r="I830" s="8" t="s">
        <v>306</v>
      </c>
      <c r="J830" s="1">
        <v>65</v>
      </c>
    </row>
    <row r="831" spans="2:10" x14ac:dyDescent="0.2">
      <c r="B831" s="4">
        <v>43026</v>
      </c>
      <c r="C831" s="8" t="s">
        <v>1088</v>
      </c>
      <c r="D831" s="1">
        <v>10</v>
      </c>
      <c r="E831" s="9" t="s">
        <v>265</v>
      </c>
      <c r="F831" s="22">
        <v>409</v>
      </c>
      <c r="G831" s="22">
        <v>168</v>
      </c>
      <c r="H831" s="1" t="str">
        <f t="shared" si="14"/>
        <v>Wed</v>
      </c>
      <c r="I831" s="8" t="s">
        <v>306</v>
      </c>
      <c r="J831" s="1">
        <v>65</v>
      </c>
    </row>
    <row r="832" spans="2:10" x14ac:dyDescent="0.2">
      <c r="B832" s="4">
        <v>43028</v>
      </c>
      <c r="C832" s="8" t="s">
        <v>1092</v>
      </c>
      <c r="D832" s="1">
        <v>10</v>
      </c>
      <c r="E832" s="9" t="s">
        <v>104</v>
      </c>
      <c r="F832" s="22">
        <v>436</v>
      </c>
      <c r="G832" s="22">
        <v>183</v>
      </c>
      <c r="H832" s="1" t="str">
        <f t="shared" si="14"/>
        <v>Fri</v>
      </c>
      <c r="I832" s="8" t="s">
        <v>306</v>
      </c>
      <c r="J832" s="1">
        <v>60</v>
      </c>
    </row>
    <row r="833" spans="2:10" x14ac:dyDescent="0.2">
      <c r="B833" s="4">
        <v>43029</v>
      </c>
      <c r="C833" s="8" t="s">
        <v>1088</v>
      </c>
      <c r="D833" s="1">
        <v>20</v>
      </c>
      <c r="E833" s="9" t="s">
        <v>131</v>
      </c>
      <c r="F833" s="22">
        <v>555</v>
      </c>
      <c r="G833" s="22">
        <v>187</v>
      </c>
      <c r="H833" s="1" t="str">
        <f t="shared" si="14"/>
        <v>Sat</v>
      </c>
      <c r="I833" s="8" t="s">
        <v>306</v>
      </c>
      <c r="J833" s="1">
        <v>60</v>
      </c>
    </row>
    <row r="834" spans="2:10" x14ac:dyDescent="0.2">
      <c r="B834" s="4">
        <v>43031</v>
      </c>
      <c r="C834" s="8" t="s">
        <v>1088</v>
      </c>
      <c r="D834" s="1">
        <v>5</v>
      </c>
      <c r="E834" s="9" t="s">
        <v>145</v>
      </c>
      <c r="F834" s="22">
        <v>149</v>
      </c>
      <c r="G834" s="22">
        <v>183</v>
      </c>
      <c r="H834" s="1" t="str">
        <f t="shared" si="14"/>
        <v>Mon</v>
      </c>
      <c r="I834" s="8" t="s">
        <v>313</v>
      </c>
      <c r="J834" s="1">
        <v>60</v>
      </c>
    </row>
    <row r="835" spans="2:10" x14ac:dyDescent="0.2">
      <c r="B835" s="4">
        <v>43033</v>
      </c>
      <c r="C835" s="8" t="s">
        <v>1092</v>
      </c>
      <c r="D835" s="1">
        <v>8</v>
      </c>
      <c r="E835" s="9" t="s">
        <v>260</v>
      </c>
      <c r="F835" s="22">
        <v>385</v>
      </c>
      <c r="G835" s="22">
        <v>183</v>
      </c>
      <c r="H835" s="1" t="str">
        <f t="shared" si="14"/>
        <v>Wed</v>
      </c>
      <c r="I835" s="8" t="s">
        <v>313</v>
      </c>
      <c r="J835" s="1">
        <v>60</v>
      </c>
    </row>
    <row r="836" spans="2:10" x14ac:dyDescent="0.2">
      <c r="B836" s="4">
        <v>43035</v>
      </c>
      <c r="C836" s="8" t="s">
        <v>1088</v>
      </c>
      <c r="D836" s="1">
        <v>7</v>
      </c>
      <c r="E836" s="9" t="s">
        <v>45</v>
      </c>
      <c r="F836" s="22">
        <v>109</v>
      </c>
      <c r="G836" s="22">
        <v>186</v>
      </c>
      <c r="H836" s="1" t="str">
        <f t="shared" si="14"/>
        <v>Fri</v>
      </c>
      <c r="I836" s="8" t="s">
        <v>313</v>
      </c>
      <c r="J836" s="1">
        <v>60</v>
      </c>
    </row>
    <row r="837" spans="2:10" x14ac:dyDescent="0.2">
      <c r="B837" s="4">
        <v>43036</v>
      </c>
      <c r="C837" s="8" t="s">
        <v>1092</v>
      </c>
      <c r="D837" s="1">
        <v>12</v>
      </c>
      <c r="E837" s="9" t="s">
        <v>66</v>
      </c>
      <c r="F837" s="22">
        <v>296</v>
      </c>
      <c r="G837" s="22">
        <v>185</v>
      </c>
      <c r="H837" s="1" t="str">
        <f t="shared" si="14"/>
        <v>Sat</v>
      </c>
      <c r="I837" s="8" t="s">
        <v>313</v>
      </c>
      <c r="J837" s="1">
        <v>60</v>
      </c>
    </row>
    <row r="838" spans="2:10" x14ac:dyDescent="0.2">
      <c r="B838" s="4">
        <v>43038</v>
      </c>
      <c r="C838" s="8" t="s">
        <v>1092</v>
      </c>
      <c r="D838" s="1">
        <v>10</v>
      </c>
      <c r="E838" s="9" t="s">
        <v>113</v>
      </c>
      <c r="F838" s="22">
        <v>270</v>
      </c>
      <c r="G838" s="22">
        <v>185</v>
      </c>
      <c r="H838" s="1" t="str">
        <f t="shared" si="14"/>
        <v>Mon</v>
      </c>
      <c r="I838" s="8" t="s">
        <v>217</v>
      </c>
      <c r="J838" s="1">
        <v>60</v>
      </c>
    </row>
    <row r="839" spans="2:10" x14ac:dyDescent="0.2">
      <c r="B839" s="4">
        <v>43040</v>
      </c>
      <c r="C839" s="8" t="s">
        <v>1088</v>
      </c>
      <c r="D839" s="1">
        <v>10</v>
      </c>
      <c r="E839" s="9" t="s">
        <v>155</v>
      </c>
      <c r="F839" s="22">
        <v>402</v>
      </c>
      <c r="G839" s="22">
        <v>179</v>
      </c>
      <c r="H839" s="1" t="str">
        <f t="shared" si="14"/>
        <v>Wed</v>
      </c>
      <c r="I839" s="8" t="s">
        <v>217</v>
      </c>
      <c r="J839" s="1">
        <v>70</v>
      </c>
    </row>
    <row r="840" spans="2:10" x14ac:dyDescent="0.2">
      <c r="B840" s="4">
        <v>43042</v>
      </c>
      <c r="C840" s="8" t="s">
        <v>1092</v>
      </c>
      <c r="D840" s="1">
        <v>10</v>
      </c>
      <c r="E840" s="9" t="s">
        <v>260</v>
      </c>
      <c r="F840" s="22">
        <v>98</v>
      </c>
      <c r="G840" s="22">
        <v>187</v>
      </c>
      <c r="H840" s="1" t="str">
        <f t="shared" si="14"/>
        <v>Fri</v>
      </c>
      <c r="I840" s="8" t="s">
        <v>217</v>
      </c>
      <c r="J840" s="1">
        <v>60</v>
      </c>
    </row>
    <row r="841" spans="2:10" x14ac:dyDescent="0.2">
      <c r="B841" s="4">
        <v>43043</v>
      </c>
      <c r="C841" s="8" t="s">
        <v>1088</v>
      </c>
      <c r="D841" s="1">
        <v>20</v>
      </c>
      <c r="E841" s="9" t="s">
        <v>168</v>
      </c>
      <c r="F841" s="22">
        <v>617</v>
      </c>
      <c r="G841" s="22">
        <v>184</v>
      </c>
      <c r="H841" s="1" t="str">
        <f t="shared" si="14"/>
        <v>Sat</v>
      </c>
      <c r="I841" s="8" t="s">
        <v>217</v>
      </c>
      <c r="J841" s="1">
        <v>60</v>
      </c>
    </row>
    <row r="842" spans="2:10" x14ac:dyDescent="0.2">
      <c r="B842" s="4">
        <v>43045</v>
      </c>
      <c r="C842" s="8" t="s">
        <v>1088</v>
      </c>
      <c r="D842" s="1">
        <v>8</v>
      </c>
      <c r="E842" s="9" t="s">
        <v>268</v>
      </c>
      <c r="F842" s="22">
        <v>101</v>
      </c>
      <c r="G842" s="22">
        <v>186</v>
      </c>
      <c r="H842" s="1" t="str">
        <f t="shared" si="14"/>
        <v>Mon</v>
      </c>
      <c r="I842" s="8" t="s">
        <v>218</v>
      </c>
      <c r="J842" s="1">
        <v>60</v>
      </c>
    </row>
    <row r="843" spans="2:10" x14ac:dyDescent="0.2">
      <c r="B843" s="4">
        <v>43047</v>
      </c>
      <c r="C843" s="8" t="s">
        <v>1092</v>
      </c>
      <c r="D843" s="1">
        <v>7</v>
      </c>
      <c r="E843" s="9" t="s">
        <v>11</v>
      </c>
      <c r="F843" s="22">
        <v>275</v>
      </c>
      <c r="G843" s="22">
        <v>180</v>
      </c>
      <c r="H843" s="1" t="str">
        <f t="shared" si="14"/>
        <v>Wed</v>
      </c>
      <c r="I843" s="8" t="s">
        <v>218</v>
      </c>
      <c r="J843" s="1">
        <v>70</v>
      </c>
    </row>
    <row r="844" spans="2:10" x14ac:dyDescent="0.2">
      <c r="B844" s="4">
        <v>43049</v>
      </c>
      <c r="C844" s="8" t="s">
        <v>1088</v>
      </c>
      <c r="D844" s="1">
        <v>10</v>
      </c>
      <c r="E844" s="9" t="s">
        <v>154</v>
      </c>
      <c r="F844" s="22">
        <v>98</v>
      </c>
      <c r="G844" s="22">
        <v>189</v>
      </c>
      <c r="H844" s="1" t="str">
        <f t="shared" si="14"/>
        <v>Fri</v>
      </c>
      <c r="I844" s="8" t="s">
        <v>218</v>
      </c>
      <c r="J844" s="1">
        <v>65</v>
      </c>
    </row>
    <row r="845" spans="2:10" x14ac:dyDescent="0.2">
      <c r="B845" s="4">
        <v>43050</v>
      </c>
      <c r="C845" s="8" t="s">
        <v>1092</v>
      </c>
      <c r="D845" s="1">
        <v>20</v>
      </c>
      <c r="E845" s="9" t="s">
        <v>54</v>
      </c>
      <c r="F845" s="22">
        <v>546</v>
      </c>
      <c r="G845" s="22">
        <v>191</v>
      </c>
      <c r="H845" s="1" t="str">
        <f t="shared" si="14"/>
        <v>Sat</v>
      </c>
      <c r="I845" s="8" t="s">
        <v>218</v>
      </c>
      <c r="J845" s="1">
        <v>65</v>
      </c>
    </row>
    <row r="846" spans="2:10" x14ac:dyDescent="0.2">
      <c r="B846" s="4">
        <v>43052</v>
      </c>
      <c r="C846" s="8" t="s">
        <v>1088</v>
      </c>
      <c r="D846" s="1">
        <v>10</v>
      </c>
      <c r="E846" s="9" t="s">
        <v>154</v>
      </c>
      <c r="F846" s="22">
        <v>154</v>
      </c>
      <c r="G846" s="22">
        <v>184</v>
      </c>
      <c r="H846" s="1" t="str">
        <f t="shared" si="14"/>
        <v>Mon</v>
      </c>
      <c r="I846" s="8" t="s">
        <v>313</v>
      </c>
      <c r="J846" s="1">
        <v>60</v>
      </c>
    </row>
    <row r="847" spans="2:10" x14ac:dyDescent="0.2">
      <c r="B847" s="4">
        <v>43056</v>
      </c>
      <c r="C847" s="8" t="s">
        <v>1092</v>
      </c>
      <c r="D847" s="1">
        <v>10</v>
      </c>
      <c r="E847" s="9" t="s">
        <v>269</v>
      </c>
      <c r="F847" s="22">
        <v>389</v>
      </c>
      <c r="G847" s="22">
        <v>188</v>
      </c>
      <c r="H847" s="1" t="str">
        <f t="shared" si="14"/>
        <v>Fri</v>
      </c>
      <c r="I847" s="8" t="s">
        <v>313</v>
      </c>
      <c r="J847" s="1">
        <v>60</v>
      </c>
    </row>
    <row r="848" spans="2:10" x14ac:dyDescent="0.2">
      <c r="B848" s="4">
        <v>43057</v>
      </c>
      <c r="C848" s="8" t="s">
        <v>1088</v>
      </c>
      <c r="D848" s="1">
        <v>13</v>
      </c>
      <c r="E848" s="9" t="s">
        <v>54</v>
      </c>
      <c r="F848" s="22">
        <v>429</v>
      </c>
      <c r="G848" s="22">
        <v>192</v>
      </c>
      <c r="H848" s="1" t="str">
        <f t="shared" si="14"/>
        <v>Sat</v>
      </c>
      <c r="I848" s="8" t="s">
        <v>313</v>
      </c>
      <c r="J848" s="1">
        <v>60</v>
      </c>
    </row>
    <row r="849" spans="2:10" x14ac:dyDescent="0.2">
      <c r="B849" s="4">
        <v>43059</v>
      </c>
      <c r="C849" s="8" t="s">
        <v>1092</v>
      </c>
      <c r="D849" s="1">
        <v>8</v>
      </c>
      <c r="E849" s="9" t="s">
        <v>139</v>
      </c>
      <c r="F849" s="22">
        <v>85</v>
      </c>
      <c r="G849" s="22">
        <v>185</v>
      </c>
      <c r="H849" s="1" t="str">
        <f t="shared" si="14"/>
        <v>Mon</v>
      </c>
      <c r="I849" s="8" t="s">
        <v>1093</v>
      </c>
      <c r="J849" s="1">
        <v>60</v>
      </c>
    </row>
    <row r="850" spans="2:10" x14ac:dyDescent="0.2">
      <c r="B850" s="4">
        <v>43061</v>
      </c>
      <c r="C850" s="8" t="s">
        <v>1088</v>
      </c>
      <c r="D850" s="1">
        <v>8</v>
      </c>
      <c r="E850" s="9" t="s">
        <v>269</v>
      </c>
      <c r="F850" s="22">
        <v>104</v>
      </c>
      <c r="G850" s="22">
        <v>191</v>
      </c>
      <c r="H850" s="1" t="str">
        <f t="shared" si="14"/>
        <v>Wed</v>
      </c>
      <c r="I850" s="8" t="s">
        <v>1093</v>
      </c>
      <c r="J850" s="1">
        <v>60</v>
      </c>
    </row>
    <row r="851" spans="2:10" x14ac:dyDescent="0.2">
      <c r="B851" s="4">
        <v>43064</v>
      </c>
      <c r="C851" s="8" t="s">
        <v>1092</v>
      </c>
      <c r="D851" s="1">
        <v>10</v>
      </c>
      <c r="E851" s="9" t="s">
        <v>241</v>
      </c>
      <c r="F851" s="22">
        <v>399</v>
      </c>
      <c r="G851" s="22">
        <v>191</v>
      </c>
      <c r="H851" s="1" t="str">
        <f t="shared" si="14"/>
        <v>Sat</v>
      </c>
      <c r="I851" s="8" t="s">
        <v>1093</v>
      </c>
      <c r="J851" s="1">
        <v>65</v>
      </c>
    </row>
    <row r="852" spans="2:10" x14ac:dyDescent="0.2">
      <c r="B852" s="4">
        <v>43066</v>
      </c>
      <c r="C852" s="8" t="s">
        <v>1088</v>
      </c>
      <c r="D852" s="1">
        <v>8</v>
      </c>
      <c r="E852" s="9" t="s">
        <v>22</v>
      </c>
      <c r="F852" s="22">
        <v>114</v>
      </c>
      <c r="G852" s="22">
        <v>186</v>
      </c>
      <c r="H852" s="1" t="str">
        <f t="shared" si="14"/>
        <v>Mon</v>
      </c>
      <c r="I852" s="8" t="s">
        <v>272</v>
      </c>
      <c r="J852" s="1">
        <v>60</v>
      </c>
    </row>
    <row r="853" spans="2:10" x14ac:dyDescent="0.2">
      <c r="B853" s="4">
        <v>43068</v>
      </c>
      <c r="C853" s="8" t="s">
        <v>1092</v>
      </c>
      <c r="D853" s="1">
        <v>7</v>
      </c>
      <c r="E853" s="9" t="s">
        <v>68</v>
      </c>
      <c r="F853" s="22">
        <v>70</v>
      </c>
      <c r="G853" s="22">
        <v>191</v>
      </c>
      <c r="H853" s="1" t="str">
        <f t="shared" si="14"/>
        <v>Wed</v>
      </c>
      <c r="I853" s="8" t="s">
        <v>272</v>
      </c>
      <c r="J853" s="1">
        <v>60</v>
      </c>
    </row>
    <row r="854" spans="2:10" x14ac:dyDescent="0.2">
      <c r="B854" s="4">
        <v>43070</v>
      </c>
      <c r="C854" s="8" t="s">
        <v>1088</v>
      </c>
      <c r="D854" s="1">
        <v>4</v>
      </c>
      <c r="E854" s="9" t="s">
        <v>54</v>
      </c>
      <c r="F854" s="22">
        <v>82</v>
      </c>
      <c r="G854" s="22">
        <v>190</v>
      </c>
      <c r="H854" s="1" t="str">
        <f t="shared" si="14"/>
        <v>Fri</v>
      </c>
      <c r="I854" s="8" t="s">
        <v>272</v>
      </c>
      <c r="J854" s="1">
        <v>60</v>
      </c>
    </row>
    <row r="855" spans="2:10" x14ac:dyDescent="0.2">
      <c r="B855" s="4">
        <v>43071</v>
      </c>
      <c r="C855" s="8" t="s">
        <v>1088</v>
      </c>
      <c r="D855" s="1">
        <v>26</v>
      </c>
      <c r="E855" s="9" t="s">
        <v>1094</v>
      </c>
      <c r="F855" s="22">
        <v>445</v>
      </c>
      <c r="G855" s="22">
        <v>173</v>
      </c>
      <c r="H855" s="1" t="str">
        <f t="shared" si="14"/>
        <v>Sat</v>
      </c>
      <c r="I855" s="8" t="s">
        <v>272</v>
      </c>
      <c r="J855" s="1">
        <v>60</v>
      </c>
    </row>
    <row r="856" spans="2:10" x14ac:dyDescent="0.2">
      <c r="B856" s="4">
        <v>43075</v>
      </c>
      <c r="C856" s="8" t="s">
        <v>1092</v>
      </c>
      <c r="D856" s="1">
        <v>6</v>
      </c>
      <c r="E856" s="9" t="s">
        <v>105</v>
      </c>
      <c r="F856" s="22">
        <v>97</v>
      </c>
      <c r="G856" s="22">
        <v>190</v>
      </c>
      <c r="H856" s="1" t="str">
        <f t="shared" si="14"/>
        <v>Wed</v>
      </c>
      <c r="I856" s="8" t="s">
        <v>313</v>
      </c>
      <c r="J856" s="1">
        <v>60</v>
      </c>
    </row>
    <row r="857" spans="2:10" x14ac:dyDescent="0.2">
      <c r="B857" s="4">
        <v>43077</v>
      </c>
      <c r="C857" s="8" t="s">
        <v>1095</v>
      </c>
      <c r="D857" s="1">
        <v>7</v>
      </c>
      <c r="E857" s="9" t="s">
        <v>121</v>
      </c>
      <c r="F857" s="22">
        <v>99</v>
      </c>
      <c r="G857" s="22">
        <v>188</v>
      </c>
      <c r="H857" s="1" t="str">
        <f t="shared" si="14"/>
        <v>Fri</v>
      </c>
      <c r="I857" s="8" t="s">
        <v>313</v>
      </c>
      <c r="J857" s="1">
        <v>60</v>
      </c>
    </row>
    <row r="858" spans="2:10" x14ac:dyDescent="0.2">
      <c r="B858" s="4">
        <v>43078</v>
      </c>
      <c r="C858" s="8" t="s">
        <v>1088</v>
      </c>
      <c r="D858" s="1">
        <v>8</v>
      </c>
      <c r="E858" s="9" t="s">
        <v>129</v>
      </c>
      <c r="F858" s="22">
        <v>148</v>
      </c>
      <c r="G858" s="22">
        <v>182</v>
      </c>
      <c r="H858" s="1" t="str">
        <f t="shared" si="14"/>
        <v>Sat</v>
      </c>
      <c r="I858" s="8" t="s">
        <v>313</v>
      </c>
      <c r="J858" s="1">
        <v>60</v>
      </c>
    </row>
    <row r="859" spans="2:10" x14ac:dyDescent="0.2">
      <c r="B859" s="4">
        <v>43080</v>
      </c>
      <c r="C859" s="8" t="s">
        <v>1092</v>
      </c>
      <c r="D859" s="1">
        <v>7</v>
      </c>
      <c r="E859" s="9" t="s">
        <v>104</v>
      </c>
      <c r="F859" s="22">
        <v>0</v>
      </c>
      <c r="G859" s="22">
        <v>180</v>
      </c>
      <c r="H859" s="1" t="str">
        <f t="shared" si="14"/>
        <v>Mon</v>
      </c>
      <c r="I859" s="8" t="s">
        <v>1093</v>
      </c>
      <c r="J859" s="1">
        <v>60</v>
      </c>
    </row>
    <row r="860" spans="2:10" x14ac:dyDescent="0.2">
      <c r="B860" s="4">
        <v>43082</v>
      </c>
      <c r="C860" s="8" t="s">
        <v>1092</v>
      </c>
      <c r="D860" s="1">
        <v>7</v>
      </c>
      <c r="E860" s="9" t="s">
        <v>261</v>
      </c>
      <c r="F860" s="22">
        <v>334</v>
      </c>
      <c r="G860" s="22">
        <v>183</v>
      </c>
      <c r="H860" s="1" t="str">
        <f t="shared" si="14"/>
        <v>Wed</v>
      </c>
      <c r="I860" s="8" t="s">
        <v>1093</v>
      </c>
      <c r="J860" s="1">
        <v>60</v>
      </c>
    </row>
    <row r="861" spans="2:10" x14ac:dyDescent="0.2">
      <c r="B861" s="4">
        <v>43084</v>
      </c>
      <c r="C861" s="8" t="s">
        <v>1088</v>
      </c>
      <c r="D861" s="1">
        <v>7</v>
      </c>
      <c r="E861" s="9" t="s">
        <v>259</v>
      </c>
      <c r="F861" s="22">
        <v>0</v>
      </c>
      <c r="G861" s="22">
        <v>180</v>
      </c>
      <c r="H861" s="1" t="str">
        <f t="shared" si="14"/>
        <v>Fri</v>
      </c>
      <c r="I861" s="8" t="s">
        <v>1093</v>
      </c>
      <c r="J861" s="1">
        <v>60</v>
      </c>
    </row>
    <row r="862" spans="2:10" x14ac:dyDescent="0.2">
      <c r="B862" s="4">
        <v>43085</v>
      </c>
      <c r="C862" s="8" t="s">
        <v>1092</v>
      </c>
      <c r="D862" s="1">
        <v>8</v>
      </c>
      <c r="E862" s="9" t="s">
        <v>258</v>
      </c>
      <c r="F862" s="22">
        <v>388</v>
      </c>
      <c r="G862" s="22">
        <v>185</v>
      </c>
      <c r="H862" s="1" t="str">
        <f t="shared" si="14"/>
        <v>Sat</v>
      </c>
      <c r="I862" s="8" t="s">
        <v>1093</v>
      </c>
      <c r="J862" s="1">
        <v>60</v>
      </c>
    </row>
    <row r="863" spans="2:10" x14ac:dyDescent="0.2">
      <c r="B863" s="4">
        <v>43087</v>
      </c>
      <c r="C863" s="8" t="s">
        <v>1092</v>
      </c>
      <c r="D863" s="1">
        <v>8</v>
      </c>
      <c r="E863" s="9" t="s">
        <v>124</v>
      </c>
      <c r="F863" s="22">
        <v>0</v>
      </c>
      <c r="G863" s="22">
        <v>180</v>
      </c>
      <c r="H863" s="1" t="str">
        <f t="shared" si="14"/>
        <v>Mon</v>
      </c>
      <c r="I863" s="8" t="s">
        <v>1096</v>
      </c>
      <c r="J863" s="1">
        <v>60</v>
      </c>
    </row>
    <row r="864" spans="2:10" x14ac:dyDescent="0.2">
      <c r="B864" s="4">
        <v>43089</v>
      </c>
      <c r="C864" s="8" t="s">
        <v>1088</v>
      </c>
      <c r="D864" s="1">
        <v>8</v>
      </c>
      <c r="E864" s="9" t="s">
        <v>124</v>
      </c>
      <c r="F864" s="22">
        <v>0</v>
      </c>
      <c r="G864" s="22">
        <v>180</v>
      </c>
      <c r="H864" s="1" t="str">
        <f t="shared" si="14"/>
        <v>Wed</v>
      </c>
      <c r="I864" s="8" t="s">
        <v>1096</v>
      </c>
      <c r="J864" s="1">
        <v>60</v>
      </c>
    </row>
    <row r="865" spans="2:10" x14ac:dyDescent="0.2">
      <c r="B865" s="4">
        <v>43091</v>
      </c>
      <c r="C865" s="8" t="s">
        <v>1092</v>
      </c>
      <c r="D865" s="1">
        <v>8</v>
      </c>
      <c r="E865" s="9" t="s">
        <v>139</v>
      </c>
      <c r="F865" s="22">
        <v>140</v>
      </c>
      <c r="G865" s="22">
        <v>183</v>
      </c>
      <c r="H865" s="1" t="str">
        <f t="shared" si="14"/>
        <v>Fri</v>
      </c>
      <c r="I865" s="8" t="s">
        <v>1096</v>
      </c>
      <c r="J865" s="1">
        <v>60</v>
      </c>
    </row>
    <row r="866" spans="2:10" x14ac:dyDescent="0.2">
      <c r="B866" s="4">
        <v>43092</v>
      </c>
      <c r="C866" s="8" t="s">
        <v>1088</v>
      </c>
      <c r="D866" s="1">
        <v>9</v>
      </c>
      <c r="E866" s="9" t="s">
        <v>57</v>
      </c>
      <c r="F866" s="22">
        <v>0</v>
      </c>
      <c r="G866" s="22">
        <v>180</v>
      </c>
      <c r="H866" s="1" t="str">
        <f t="shared" si="14"/>
        <v>Sat</v>
      </c>
      <c r="I866" s="8" t="s">
        <v>1096</v>
      </c>
      <c r="J866" s="1">
        <v>60</v>
      </c>
    </row>
    <row r="867" spans="2:10" x14ac:dyDescent="0.2">
      <c r="B867" s="4">
        <v>43094</v>
      </c>
      <c r="C867" s="8" t="s">
        <v>1088</v>
      </c>
      <c r="D867" s="1">
        <v>9</v>
      </c>
      <c r="E867" s="9" t="s">
        <v>58</v>
      </c>
      <c r="F867" s="22">
        <v>129</v>
      </c>
      <c r="G867" s="22">
        <v>145</v>
      </c>
      <c r="H867" s="1" t="str">
        <f t="shared" si="14"/>
        <v>Mon</v>
      </c>
      <c r="I867" s="8" t="s">
        <v>217</v>
      </c>
      <c r="J867" s="1">
        <v>70</v>
      </c>
    </row>
    <row r="868" spans="2:10" x14ac:dyDescent="0.2">
      <c r="B868" s="4">
        <v>43096</v>
      </c>
      <c r="C868" s="8" t="s">
        <v>1092</v>
      </c>
      <c r="D868" s="1">
        <v>9</v>
      </c>
      <c r="E868" s="9" t="s">
        <v>29</v>
      </c>
      <c r="F868" s="22">
        <v>389</v>
      </c>
      <c r="G868" s="22">
        <v>153</v>
      </c>
      <c r="H868" s="1" t="str">
        <f t="shared" si="14"/>
        <v>Wed</v>
      </c>
      <c r="I868" s="8" t="s">
        <v>217</v>
      </c>
      <c r="J868" s="1">
        <v>80</v>
      </c>
    </row>
    <row r="869" spans="2:10" x14ac:dyDescent="0.2">
      <c r="B869" s="4">
        <v>43098</v>
      </c>
      <c r="C869" s="8" t="s">
        <v>1088</v>
      </c>
      <c r="D869" s="1">
        <v>9</v>
      </c>
      <c r="E869" s="9" t="s">
        <v>108</v>
      </c>
      <c r="F869" s="22">
        <v>150</v>
      </c>
      <c r="G869" s="22">
        <v>167</v>
      </c>
      <c r="H869" s="1" t="str">
        <f t="shared" si="14"/>
        <v>Fri</v>
      </c>
      <c r="I869" s="8" t="s">
        <v>217</v>
      </c>
      <c r="J869" s="1">
        <v>70</v>
      </c>
    </row>
    <row r="870" spans="2:10" x14ac:dyDescent="0.2">
      <c r="B870" s="4">
        <v>43099</v>
      </c>
      <c r="C870" s="8" t="s">
        <v>1092</v>
      </c>
      <c r="D870" s="1">
        <v>12</v>
      </c>
      <c r="E870" s="9" t="s">
        <v>70</v>
      </c>
      <c r="F870" s="22">
        <v>466</v>
      </c>
      <c r="G870" s="22">
        <v>191</v>
      </c>
      <c r="H870" s="1" t="str">
        <f t="shared" si="14"/>
        <v>Sat</v>
      </c>
      <c r="I870" s="8" t="s">
        <v>217</v>
      </c>
      <c r="J870" s="1">
        <v>60</v>
      </c>
    </row>
    <row r="871" spans="2:10" x14ac:dyDescent="0.2">
      <c r="B871" s="4">
        <v>43102</v>
      </c>
      <c r="C871" s="8" t="s">
        <v>1088</v>
      </c>
      <c r="D871" s="1">
        <v>9</v>
      </c>
      <c r="E871" s="9" t="s">
        <v>108</v>
      </c>
      <c r="F871" s="22">
        <v>150</v>
      </c>
      <c r="G871" s="22">
        <v>180</v>
      </c>
      <c r="H871" s="1" t="str">
        <f t="shared" si="14"/>
        <v>Tue</v>
      </c>
      <c r="I871" s="8" t="s">
        <v>218</v>
      </c>
      <c r="J871" s="1">
        <v>70</v>
      </c>
    </row>
    <row r="872" spans="2:10" x14ac:dyDescent="0.2">
      <c r="B872" s="4">
        <v>43103</v>
      </c>
      <c r="C872" s="8" t="s">
        <v>1092</v>
      </c>
      <c r="D872" s="1">
        <v>9</v>
      </c>
      <c r="E872" s="9" t="s">
        <v>8</v>
      </c>
      <c r="F872" s="22">
        <v>390</v>
      </c>
      <c r="G872" s="22">
        <v>157</v>
      </c>
      <c r="H872" s="1" t="str">
        <f t="shared" si="14"/>
        <v>Wed</v>
      </c>
      <c r="I872" s="8" t="s">
        <v>218</v>
      </c>
      <c r="J872" s="1">
        <v>80</v>
      </c>
    </row>
    <row r="873" spans="2:10" x14ac:dyDescent="0.2">
      <c r="B873" s="4">
        <v>43105</v>
      </c>
      <c r="C873" s="8" t="s">
        <v>1088</v>
      </c>
      <c r="D873" s="1">
        <v>9</v>
      </c>
      <c r="E873" s="9" t="s">
        <v>117</v>
      </c>
      <c r="F873" s="22">
        <v>76</v>
      </c>
      <c r="G873" s="22">
        <v>156</v>
      </c>
      <c r="H873" s="1" t="str">
        <f t="shared" si="14"/>
        <v>Fri</v>
      </c>
      <c r="I873" s="8" t="s">
        <v>218</v>
      </c>
      <c r="J873" s="1">
        <v>70</v>
      </c>
    </row>
    <row r="874" spans="2:10" x14ac:dyDescent="0.2">
      <c r="B874" s="4">
        <v>43106</v>
      </c>
      <c r="C874" s="8" t="s">
        <v>1092</v>
      </c>
      <c r="D874" s="1">
        <v>12</v>
      </c>
      <c r="E874" s="9" t="s">
        <v>41</v>
      </c>
      <c r="F874" s="22">
        <v>231</v>
      </c>
      <c r="G874" s="22">
        <v>194</v>
      </c>
      <c r="H874" s="1" t="str">
        <f t="shared" si="14"/>
        <v>Sat</v>
      </c>
      <c r="I874" s="8" t="s">
        <v>218</v>
      </c>
      <c r="J874" s="1">
        <v>75</v>
      </c>
    </row>
    <row r="875" spans="2:10" x14ac:dyDescent="0.2">
      <c r="B875" s="4">
        <v>43108</v>
      </c>
      <c r="C875" s="8" t="s">
        <v>1088</v>
      </c>
      <c r="D875" s="1">
        <v>6</v>
      </c>
      <c r="E875" s="9" t="s">
        <v>1097</v>
      </c>
      <c r="F875" s="22">
        <v>0</v>
      </c>
      <c r="G875" s="22">
        <v>180</v>
      </c>
      <c r="H875" s="1" t="str">
        <f t="shared" si="14"/>
        <v>Mon</v>
      </c>
      <c r="I875" s="8" t="s">
        <v>313</v>
      </c>
      <c r="J875" s="1">
        <v>60</v>
      </c>
    </row>
    <row r="876" spans="2:10" x14ac:dyDescent="0.2">
      <c r="B876" s="4">
        <v>43110</v>
      </c>
      <c r="C876" s="8" t="s">
        <v>1088</v>
      </c>
      <c r="D876" s="1">
        <v>9</v>
      </c>
      <c r="E876" s="9" t="s">
        <v>28</v>
      </c>
      <c r="F876" s="22">
        <v>415</v>
      </c>
      <c r="G876" s="22">
        <v>184</v>
      </c>
      <c r="H876" s="1" t="str">
        <f t="shared" si="14"/>
        <v>Wed</v>
      </c>
      <c r="I876" s="8" t="s">
        <v>313</v>
      </c>
      <c r="J876" s="1">
        <v>75</v>
      </c>
    </row>
    <row r="877" spans="2:10" x14ac:dyDescent="0.2">
      <c r="B877" s="4">
        <v>43112</v>
      </c>
      <c r="C877" s="8" t="s">
        <v>1092</v>
      </c>
      <c r="D877" s="1">
        <v>9</v>
      </c>
      <c r="E877" s="9" t="s">
        <v>52</v>
      </c>
      <c r="F877" s="22">
        <v>151</v>
      </c>
      <c r="G877" s="22">
        <v>189</v>
      </c>
      <c r="H877" s="1" t="str">
        <f t="shared" si="14"/>
        <v>Fri</v>
      </c>
      <c r="I877" s="8" t="s">
        <v>313</v>
      </c>
      <c r="J877" s="1">
        <v>60</v>
      </c>
    </row>
    <row r="878" spans="2:10" x14ac:dyDescent="0.2">
      <c r="B878" s="4">
        <v>43115</v>
      </c>
      <c r="C878" s="8" t="s">
        <v>1095</v>
      </c>
      <c r="D878" s="1">
        <v>8</v>
      </c>
      <c r="E878" s="9" t="s">
        <v>108</v>
      </c>
      <c r="F878" s="22">
        <v>76</v>
      </c>
      <c r="G878" s="22">
        <v>180</v>
      </c>
      <c r="H878" s="1" t="str">
        <f t="shared" si="14"/>
        <v>Mon</v>
      </c>
      <c r="I878" s="8" t="s">
        <v>217</v>
      </c>
      <c r="J878" s="1">
        <v>65</v>
      </c>
    </row>
    <row r="879" spans="2:10" x14ac:dyDescent="0.2">
      <c r="B879" s="4">
        <v>43117</v>
      </c>
      <c r="C879" s="8" t="s">
        <v>1092</v>
      </c>
      <c r="D879" s="1">
        <v>6</v>
      </c>
      <c r="E879" s="9" t="s">
        <v>22</v>
      </c>
      <c r="F879" s="22">
        <v>0</v>
      </c>
      <c r="G879" s="22">
        <v>180</v>
      </c>
      <c r="H879" s="1" t="str">
        <f t="shared" si="14"/>
        <v>Wed</v>
      </c>
      <c r="I879" s="8" t="s">
        <v>217</v>
      </c>
      <c r="J879" s="1">
        <v>75</v>
      </c>
    </row>
    <row r="880" spans="2:10" x14ac:dyDescent="0.2">
      <c r="B880" s="4">
        <v>43119</v>
      </c>
      <c r="C880" s="8" t="s">
        <v>1095</v>
      </c>
      <c r="D880" s="1">
        <v>8</v>
      </c>
      <c r="E880" s="9" t="s">
        <v>264</v>
      </c>
      <c r="F880" s="22">
        <v>152</v>
      </c>
      <c r="G880" s="22">
        <v>172</v>
      </c>
      <c r="H880" s="1" t="str">
        <f t="shared" si="14"/>
        <v>Fri</v>
      </c>
      <c r="I880" s="8" t="s">
        <v>217</v>
      </c>
      <c r="J880" s="1">
        <v>65</v>
      </c>
    </row>
    <row r="881" spans="2:10" x14ac:dyDescent="0.2">
      <c r="B881" s="4">
        <v>43120</v>
      </c>
      <c r="C881" s="8" t="s">
        <v>1095</v>
      </c>
      <c r="D881" s="1">
        <v>12</v>
      </c>
      <c r="E881" s="9" t="s">
        <v>141</v>
      </c>
      <c r="F881" s="22">
        <v>230</v>
      </c>
      <c r="G881" s="22">
        <v>190</v>
      </c>
      <c r="H881" s="1" t="str">
        <f t="shared" si="14"/>
        <v>Sat</v>
      </c>
      <c r="I881" s="8" t="s">
        <v>217</v>
      </c>
      <c r="J881" s="1">
        <v>75</v>
      </c>
    </row>
    <row r="882" spans="2:10" x14ac:dyDescent="0.2">
      <c r="B882" s="4">
        <v>43122</v>
      </c>
      <c r="C882" s="8" t="s">
        <v>1095</v>
      </c>
      <c r="D882" s="1">
        <v>9</v>
      </c>
      <c r="E882" s="9" t="s">
        <v>28</v>
      </c>
      <c r="F882" s="22">
        <v>92</v>
      </c>
      <c r="G882" s="22">
        <v>164</v>
      </c>
      <c r="H882" s="1" t="str">
        <f t="shared" si="14"/>
        <v>Mon</v>
      </c>
      <c r="I882" s="8" t="s">
        <v>218</v>
      </c>
      <c r="J882" s="1">
        <v>65</v>
      </c>
    </row>
    <row r="883" spans="2:10" x14ac:dyDescent="0.2">
      <c r="B883" s="4">
        <v>43124</v>
      </c>
      <c r="C883" s="8" t="s">
        <v>1092</v>
      </c>
      <c r="D883" s="1">
        <v>8</v>
      </c>
      <c r="E883" s="9" t="s">
        <v>117</v>
      </c>
      <c r="F883" s="22">
        <v>386</v>
      </c>
      <c r="G883" s="22">
        <v>158</v>
      </c>
      <c r="H883" s="1" t="str">
        <f t="shared" si="14"/>
        <v>Wed</v>
      </c>
      <c r="I883" s="8" t="s">
        <v>218</v>
      </c>
      <c r="J883" s="1">
        <v>80</v>
      </c>
    </row>
    <row r="884" spans="2:10" x14ac:dyDescent="0.2">
      <c r="B884" s="4">
        <v>43126</v>
      </c>
      <c r="C884" s="8" t="s">
        <v>1098</v>
      </c>
      <c r="D884" s="1">
        <v>8</v>
      </c>
      <c r="E884" s="9" t="s">
        <v>28</v>
      </c>
      <c r="F884" s="22">
        <v>132</v>
      </c>
      <c r="G884" s="22">
        <v>176</v>
      </c>
      <c r="H884" s="1" t="str">
        <f t="shared" si="14"/>
        <v>Fri</v>
      </c>
      <c r="I884" s="8" t="s">
        <v>218</v>
      </c>
      <c r="J884" s="1">
        <v>60</v>
      </c>
    </row>
    <row r="885" spans="2:10" x14ac:dyDescent="0.2">
      <c r="B885" s="4">
        <v>43127</v>
      </c>
      <c r="C885" s="8" t="s">
        <v>1095</v>
      </c>
      <c r="D885" s="1">
        <v>12</v>
      </c>
      <c r="E885" s="9" t="s">
        <v>54</v>
      </c>
      <c r="F885" s="22">
        <v>978</v>
      </c>
      <c r="G885" s="22">
        <v>190</v>
      </c>
      <c r="H885" s="1" t="str">
        <f t="shared" si="14"/>
        <v>Sat</v>
      </c>
      <c r="I885" s="8" t="s">
        <v>218</v>
      </c>
      <c r="J885" s="1">
        <v>75</v>
      </c>
    </row>
    <row r="886" spans="2:10" x14ac:dyDescent="0.2">
      <c r="B886" s="4">
        <v>43129</v>
      </c>
      <c r="C886" s="8" t="s">
        <v>1095</v>
      </c>
      <c r="D886" s="1">
        <v>6</v>
      </c>
      <c r="E886" s="9" t="s">
        <v>70</v>
      </c>
      <c r="F886" s="22">
        <v>93</v>
      </c>
      <c r="G886" s="22">
        <v>153</v>
      </c>
      <c r="H886" s="1" t="str">
        <f t="shared" si="14"/>
        <v>Mon</v>
      </c>
      <c r="I886" s="8" t="s">
        <v>313</v>
      </c>
      <c r="J886" s="1">
        <v>60</v>
      </c>
    </row>
    <row r="887" spans="2:10" x14ac:dyDescent="0.2">
      <c r="B887" s="4">
        <v>43131</v>
      </c>
      <c r="C887" s="8" t="s">
        <v>1092</v>
      </c>
      <c r="D887" s="1">
        <v>7</v>
      </c>
      <c r="E887" s="9" t="s">
        <v>108</v>
      </c>
      <c r="F887" s="22">
        <v>96</v>
      </c>
      <c r="G887" s="22">
        <v>171</v>
      </c>
      <c r="H887" s="1" t="str">
        <f t="shared" si="14"/>
        <v>Wed</v>
      </c>
      <c r="I887" s="8" t="s">
        <v>313</v>
      </c>
      <c r="J887" s="1">
        <v>60</v>
      </c>
    </row>
    <row r="888" spans="2:10" x14ac:dyDescent="0.2">
      <c r="B888" s="4">
        <v>43133</v>
      </c>
      <c r="C888" s="8" t="s">
        <v>1095</v>
      </c>
      <c r="D888" s="1">
        <v>7</v>
      </c>
      <c r="E888" s="9" t="s">
        <v>136</v>
      </c>
      <c r="F888" s="22">
        <v>69</v>
      </c>
      <c r="G888" s="22">
        <v>174</v>
      </c>
      <c r="H888" s="1" t="str">
        <f t="shared" si="14"/>
        <v>Fri</v>
      </c>
      <c r="I888" s="8" t="s">
        <v>313</v>
      </c>
      <c r="J888" s="1">
        <v>60</v>
      </c>
    </row>
    <row r="889" spans="2:10" x14ac:dyDescent="0.2">
      <c r="B889" s="4">
        <v>43134</v>
      </c>
      <c r="C889" s="8" t="s">
        <v>1092</v>
      </c>
      <c r="D889" s="1">
        <v>12</v>
      </c>
      <c r="E889" s="9" t="s">
        <v>51</v>
      </c>
      <c r="F889" s="22">
        <v>390</v>
      </c>
      <c r="G889" s="22">
        <v>190</v>
      </c>
      <c r="H889" s="1" t="str">
        <f t="shared" si="14"/>
        <v>Sat</v>
      </c>
      <c r="I889" s="8" t="s">
        <v>313</v>
      </c>
      <c r="J889" s="1">
        <v>60</v>
      </c>
    </row>
    <row r="890" spans="2:10" x14ac:dyDescent="0.2">
      <c r="B890" s="4">
        <v>43136</v>
      </c>
      <c r="C890" s="8" t="s">
        <v>1092</v>
      </c>
      <c r="D890" s="1">
        <v>8</v>
      </c>
      <c r="E890" s="9" t="s">
        <v>26</v>
      </c>
      <c r="F890" s="22">
        <v>133</v>
      </c>
      <c r="G890" s="22">
        <v>143</v>
      </c>
      <c r="H890" s="1" t="str">
        <f t="shared" si="14"/>
        <v>Mon</v>
      </c>
      <c r="I890" s="8" t="s">
        <v>217</v>
      </c>
      <c r="J890" s="1">
        <v>65</v>
      </c>
    </row>
    <row r="891" spans="2:10" x14ac:dyDescent="0.2">
      <c r="B891" s="4">
        <v>43138</v>
      </c>
      <c r="C891" s="8" t="s">
        <v>1095</v>
      </c>
      <c r="D891" s="1">
        <v>6</v>
      </c>
      <c r="E891" s="9" t="s">
        <v>254</v>
      </c>
      <c r="F891" s="22">
        <v>0</v>
      </c>
      <c r="G891" s="22">
        <v>180</v>
      </c>
      <c r="H891" s="1" t="str">
        <f t="shared" si="14"/>
        <v>Wed</v>
      </c>
      <c r="I891" s="8" t="s">
        <v>217</v>
      </c>
      <c r="J891" s="1">
        <v>60</v>
      </c>
    </row>
    <row r="892" spans="2:10" x14ac:dyDescent="0.2">
      <c r="B892" s="4">
        <v>43140</v>
      </c>
      <c r="C892" s="8" t="s">
        <v>1092</v>
      </c>
      <c r="D892" s="1">
        <v>7</v>
      </c>
      <c r="E892" s="9" t="s">
        <v>155</v>
      </c>
      <c r="F892" s="22">
        <v>167</v>
      </c>
      <c r="G892" s="22">
        <v>162</v>
      </c>
      <c r="H892" s="1" t="str">
        <f t="shared" si="14"/>
        <v>Fri</v>
      </c>
      <c r="I892" s="8" t="s">
        <v>217</v>
      </c>
      <c r="J892" s="1">
        <v>60</v>
      </c>
    </row>
    <row r="893" spans="2:10" x14ac:dyDescent="0.2">
      <c r="B893" s="4">
        <v>43143</v>
      </c>
      <c r="C893" s="8" t="s">
        <v>1092</v>
      </c>
      <c r="D893" s="1">
        <v>8</v>
      </c>
      <c r="E893" s="9" t="s">
        <v>19</v>
      </c>
      <c r="F893" s="22">
        <v>127</v>
      </c>
      <c r="G893" s="22">
        <v>145</v>
      </c>
      <c r="H893" s="1" t="str">
        <f t="shared" si="14"/>
        <v>Mon</v>
      </c>
      <c r="I893" s="8" t="s">
        <v>217</v>
      </c>
      <c r="J893" s="1">
        <v>65</v>
      </c>
    </row>
    <row r="894" spans="2:10" x14ac:dyDescent="0.2">
      <c r="B894" s="4">
        <v>43145</v>
      </c>
      <c r="C894" s="8" t="s">
        <v>1095</v>
      </c>
      <c r="D894" s="1">
        <v>9</v>
      </c>
      <c r="E894" s="9" t="s">
        <v>43</v>
      </c>
      <c r="F894" s="22">
        <v>381</v>
      </c>
      <c r="G894" s="22">
        <v>170</v>
      </c>
      <c r="H894" s="1" t="str">
        <f t="shared" si="14"/>
        <v>Wed</v>
      </c>
      <c r="I894" s="8" t="s">
        <v>217</v>
      </c>
      <c r="J894" s="1">
        <v>75</v>
      </c>
    </row>
    <row r="895" spans="2:10" x14ac:dyDescent="0.2">
      <c r="B895" s="4">
        <v>43147</v>
      </c>
      <c r="C895" s="8" t="s">
        <v>1092</v>
      </c>
      <c r="D895" s="1">
        <v>8</v>
      </c>
      <c r="E895" s="9" t="s">
        <v>16</v>
      </c>
      <c r="F895" s="22">
        <v>105</v>
      </c>
      <c r="G895" s="22">
        <v>161</v>
      </c>
      <c r="H895" s="1" t="str">
        <f t="shared" si="14"/>
        <v>Fri</v>
      </c>
      <c r="I895" s="8" t="s">
        <v>217</v>
      </c>
      <c r="J895" s="1">
        <v>65</v>
      </c>
    </row>
    <row r="896" spans="2:10" x14ac:dyDescent="0.2">
      <c r="B896" s="4">
        <v>43148</v>
      </c>
      <c r="C896" s="8" t="s">
        <v>1095</v>
      </c>
      <c r="D896" s="1">
        <v>12</v>
      </c>
      <c r="E896" s="9" t="s">
        <v>141</v>
      </c>
      <c r="F896" s="22">
        <v>284</v>
      </c>
      <c r="G896" s="22">
        <v>194</v>
      </c>
      <c r="H896" s="1" t="str">
        <f t="shared" si="14"/>
        <v>Sat</v>
      </c>
      <c r="I896" s="8" t="s">
        <v>217</v>
      </c>
      <c r="J896" s="1">
        <v>75</v>
      </c>
    </row>
    <row r="897" spans="2:10" x14ac:dyDescent="0.2">
      <c r="B897" s="4">
        <v>43150</v>
      </c>
      <c r="C897" s="8" t="s">
        <v>1092</v>
      </c>
      <c r="D897" s="1">
        <v>8</v>
      </c>
      <c r="E897" s="9" t="s">
        <v>264</v>
      </c>
      <c r="F897" s="22">
        <v>143</v>
      </c>
      <c r="G897" s="22">
        <v>164</v>
      </c>
      <c r="H897" s="1" t="str">
        <f t="shared" si="14"/>
        <v>Mon</v>
      </c>
      <c r="I897" s="8" t="s">
        <v>218</v>
      </c>
      <c r="J897" s="1">
        <v>70</v>
      </c>
    </row>
    <row r="898" spans="2:10" x14ac:dyDescent="0.2">
      <c r="B898" s="4">
        <v>43152</v>
      </c>
      <c r="C898" s="8" t="s">
        <v>1095</v>
      </c>
      <c r="D898" s="1">
        <v>8</v>
      </c>
      <c r="E898" s="9" t="s">
        <v>269</v>
      </c>
      <c r="F898" s="22">
        <v>386</v>
      </c>
      <c r="G898" s="22">
        <v>166</v>
      </c>
      <c r="H898" s="1" t="str">
        <f t="shared" si="14"/>
        <v>Wed</v>
      </c>
      <c r="I898" s="8" t="s">
        <v>218</v>
      </c>
      <c r="J898" s="1">
        <v>65</v>
      </c>
    </row>
    <row r="899" spans="2:10" x14ac:dyDescent="0.2">
      <c r="B899" s="4">
        <v>43154</v>
      </c>
      <c r="C899" s="8" t="s">
        <v>1092</v>
      </c>
      <c r="D899" s="1">
        <v>4</v>
      </c>
      <c r="E899" s="9" t="s">
        <v>47</v>
      </c>
      <c r="F899" s="22">
        <v>134</v>
      </c>
      <c r="G899" s="22">
        <v>160</v>
      </c>
      <c r="H899" s="1" t="str">
        <f t="shared" si="14"/>
        <v>Fri</v>
      </c>
      <c r="I899" s="8" t="s">
        <v>218</v>
      </c>
      <c r="J899" s="1">
        <v>60</v>
      </c>
    </row>
    <row r="900" spans="2:10" x14ac:dyDescent="0.2">
      <c r="B900" s="4">
        <v>43155</v>
      </c>
      <c r="C900" s="8" t="s">
        <v>1095</v>
      </c>
      <c r="D900" s="1">
        <v>3</v>
      </c>
      <c r="E900" s="9" t="s">
        <v>243</v>
      </c>
      <c r="F900" s="22">
        <v>35</v>
      </c>
      <c r="G900" s="22">
        <v>182</v>
      </c>
      <c r="H900" s="1" t="str">
        <f t="shared" si="14"/>
        <v>Sat</v>
      </c>
      <c r="I900" s="8" t="s">
        <v>218</v>
      </c>
      <c r="J900" s="1">
        <v>60</v>
      </c>
    </row>
    <row r="901" spans="2:10" x14ac:dyDescent="0.2">
      <c r="B901" s="4">
        <v>43155</v>
      </c>
      <c r="C901" s="8" t="s">
        <v>1095</v>
      </c>
      <c r="D901" s="1">
        <v>7</v>
      </c>
      <c r="E901" s="9" t="s">
        <v>10</v>
      </c>
      <c r="F901" s="22">
        <v>267</v>
      </c>
      <c r="G901" s="22">
        <v>188</v>
      </c>
      <c r="H901" s="1" t="str">
        <f t="shared" si="14"/>
        <v>Sat</v>
      </c>
      <c r="I901" s="8" t="s">
        <v>218</v>
      </c>
      <c r="J901" s="1">
        <v>75</v>
      </c>
    </row>
    <row r="902" spans="2:10" x14ac:dyDescent="0.2">
      <c r="B902" s="4">
        <v>43157</v>
      </c>
      <c r="C902" s="8" t="s">
        <v>1092</v>
      </c>
      <c r="D902" s="1">
        <v>7</v>
      </c>
      <c r="E902" s="9" t="s">
        <v>264</v>
      </c>
      <c r="F902" s="22">
        <v>92</v>
      </c>
      <c r="G902" s="22">
        <v>179</v>
      </c>
      <c r="H902" s="1" t="str">
        <f t="shared" si="14"/>
        <v>Mon</v>
      </c>
      <c r="I902" s="8" t="s">
        <v>219</v>
      </c>
      <c r="J902" s="1">
        <v>65</v>
      </c>
    </row>
    <row r="903" spans="2:10" x14ac:dyDescent="0.2">
      <c r="B903" s="4">
        <v>43159</v>
      </c>
      <c r="C903" s="8" t="s">
        <v>1095</v>
      </c>
      <c r="D903" s="1">
        <v>5</v>
      </c>
      <c r="E903" s="9" t="s">
        <v>81</v>
      </c>
      <c r="F903" s="22">
        <v>0</v>
      </c>
      <c r="G903" s="22">
        <v>180</v>
      </c>
      <c r="H903" s="1" t="str">
        <f t="shared" si="14"/>
        <v>Wed</v>
      </c>
      <c r="I903" s="8" t="s">
        <v>219</v>
      </c>
      <c r="J903" s="1">
        <v>75</v>
      </c>
    </row>
    <row r="904" spans="2:10" x14ac:dyDescent="0.2">
      <c r="B904" s="4">
        <v>43161</v>
      </c>
      <c r="C904" s="8" t="s">
        <v>1098</v>
      </c>
      <c r="D904" s="1">
        <v>5</v>
      </c>
      <c r="E904" s="9" t="s">
        <v>13</v>
      </c>
      <c r="F904" s="22">
        <v>140</v>
      </c>
      <c r="G904" s="22">
        <v>166</v>
      </c>
      <c r="H904" s="1" t="str">
        <f t="shared" si="14"/>
        <v>Fri</v>
      </c>
      <c r="I904" s="8" t="s">
        <v>219</v>
      </c>
      <c r="J904" s="1">
        <v>65</v>
      </c>
    </row>
    <row r="905" spans="2:10" x14ac:dyDescent="0.2">
      <c r="B905" s="4">
        <v>43162</v>
      </c>
      <c r="C905" s="8" t="s">
        <v>1095</v>
      </c>
      <c r="D905" s="1">
        <v>10</v>
      </c>
      <c r="E905" s="9" t="s">
        <v>42</v>
      </c>
      <c r="F905" s="22">
        <v>211</v>
      </c>
      <c r="G905" s="22">
        <v>193</v>
      </c>
      <c r="H905" s="1" t="str">
        <f t="shared" si="14"/>
        <v>Sat</v>
      </c>
      <c r="I905" s="8" t="s">
        <v>219</v>
      </c>
      <c r="J905" s="1">
        <v>75</v>
      </c>
    </row>
    <row r="906" spans="2:10" x14ac:dyDescent="0.2">
      <c r="B906" s="4">
        <v>43164</v>
      </c>
      <c r="C906" s="8" t="s">
        <v>1098</v>
      </c>
      <c r="D906" s="1">
        <v>5</v>
      </c>
      <c r="E906" s="9" t="s">
        <v>18</v>
      </c>
      <c r="F906" s="22">
        <v>87</v>
      </c>
      <c r="G906" s="22">
        <v>168</v>
      </c>
      <c r="H906" s="1" t="str">
        <f t="shared" si="14"/>
        <v>Mon</v>
      </c>
      <c r="I906" s="8" t="s">
        <v>306</v>
      </c>
      <c r="J906" s="1">
        <v>60</v>
      </c>
    </row>
    <row r="907" spans="2:10" x14ac:dyDescent="0.2">
      <c r="B907" s="4">
        <v>43166</v>
      </c>
      <c r="C907" s="8" t="s">
        <v>1095</v>
      </c>
      <c r="D907" s="1">
        <v>7</v>
      </c>
      <c r="E907" s="9" t="s">
        <v>24</v>
      </c>
      <c r="F907" s="22">
        <v>363</v>
      </c>
      <c r="G907" s="22">
        <v>161</v>
      </c>
      <c r="H907" s="1" t="str">
        <f t="shared" si="14"/>
        <v>Wed</v>
      </c>
      <c r="I907" s="8" t="s">
        <v>306</v>
      </c>
      <c r="J907" s="1">
        <v>75</v>
      </c>
    </row>
    <row r="908" spans="2:10" x14ac:dyDescent="0.2">
      <c r="B908" s="4">
        <v>43168</v>
      </c>
      <c r="C908" s="8" t="s">
        <v>1098</v>
      </c>
      <c r="D908" s="1">
        <v>5</v>
      </c>
      <c r="E908" s="9" t="s">
        <v>16</v>
      </c>
      <c r="F908" s="22">
        <v>143</v>
      </c>
      <c r="G908" s="22">
        <v>169</v>
      </c>
      <c r="H908" s="1" t="str">
        <f t="shared" si="14"/>
        <v>Fri</v>
      </c>
      <c r="I908" s="8" t="s">
        <v>306</v>
      </c>
      <c r="J908" s="1">
        <v>65</v>
      </c>
    </row>
    <row r="909" spans="2:10" x14ac:dyDescent="0.2">
      <c r="B909" s="4">
        <v>43169</v>
      </c>
      <c r="C909" s="8" t="s">
        <v>1095</v>
      </c>
      <c r="D909" s="1">
        <v>10</v>
      </c>
      <c r="E909" s="9" t="s">
        <v>108</v>
      </c>
      <c r="F909" s="22">
        <v>746</v>
      </c>
      <c r="G909" s="22">
        <v>185</v>
      </c>
      <c r="H909" s="1" t="str">
        <f t="shared" si="14"/>
        <v>Sat</v>
      </c>
      <c r="I909" s="8" t="s">
        <v>306</v>
      </c>
      <c r="J909" s="1">
        <v>70</v>
      </c>
    </row>
    <row r="910" spans="2:10" x14ac:dyDescent="0.2">
      <c r="B910" s="4">
        <v>43171</v>
      </c>
      <c r="C910" s="8" t="s">
        <v>1098</v>
      </c>
      <c r="D910" s="1">
        <v>5</v>
      </c>
      <c r="E910" s="9" t="s">
        <v>21</v>
      </c>
      <c r="F910" s="22">
        <v>148</v>
      </c>
      <c r="G910" s="22">
        <v>162</v>
      </c>
      <c r="H910" s="1" t="str">
        <f t="shared" si="14"/>
        <v>Mon</v>
      </c>
      <c r="I910" s="8" t="s">
        <v>312</v>
      </c>
      <c r="J910" s="1">
        <v>65</v>
      </c>
    </row>
    <row r="911" spans="2:10" x14ac:dyDescent="0.2">
      <c r="B911" s="4">
        <v>43173</v>
      </c>
      <c r="C911" s="8" t="s">
        <v>1095</v>
      </c>
      <c r="D911" s="1">
        <v>7</v>
      </c>
      <c r="E911" s="9" t="s">
        <v>30</v>
      </c>
      <c r="F911" s="22">
        <v>359</v>
      </c>
      <c r="G911" s="22">
        <v>158</v>
      </c>
      <c r="H911" s="1" t="str">
        <f t="shared" si="14"/>
        <v>Wed</v>
      </c>
      <c r="I911" s="8" t="s">
        <v>312</v>
      </c>
      <c r="J911" s="1">
        <v>75</v>
      </c>
    </row>
    <row r="912" spans="2:10" x14ac:dyDescent="0.2">
      <c r="B912" s="4">
        <v>43175</v>
      </c>
      <c r="C912" s="8" t="s">
        <v>1098</v>
      </c>
      <c r="D912" s="1">
        <v>12</v>
      </c>
      <c r="E912" s="9" t="s">
        <v>13</v>
      </c>
      <c r="F912" s="22">
        <v>281</v>
      </c>
      <c r="G912" s="22">
        <v>192</v>
      </c>
      <c r="H912" s="1" t="str">
        <f t="shared" si="14"/>
        <v>Fri</v>
      </c>
      <c r="I912" s="8" t="s">
        <v>312</v>
      </c>
      <c r="J912" s="1">
        <v>70</v>
      </c>
    </row>
    <row r="913" spans="2:10" x14ac:dyDescent="0.2">
      <c r="B913" s="4">
        <v>43178</v>
      </c>
      <c r="C913" s="8" t="s">
        <v>1098</v>
      </c>
      <c r="D913" s="1">
        <v>8</v>
      </c>
      <c r="E913" s="9" t="s">
        <v>21</v>
      </c>
      <c r="F913" s="22">
        <v>120</v>
      </c>
      <c r="G913" s="22">
        <v>169</v>
      </c>
      <c r="H913" s="1" t="str">
        <f t="shared" si="14"/>
        <v>Mon</v>
      </c>
      <c r="I913" s="8" t="s">
        <v>1099</v>
      </c>
      <c r="J913" s="1">
        <v>70</v>
      </c>
    </row>
    <row r="914" spans="2:10" x14ac:dyDescent="0.2">
      <c r="B914" s="4">
        <v>43180</v>
      </c>
      <c r="C914" s="8" t="s">
        <v>1095</v>
      </c>
      <c r="D914" s="1">
        <v>8</v>
      </c>
      <c r="E914" s="9" t="s">
        <v>81</v>
      </c>
      <c r="F914" s="22">
        <v>400</v>
      </c>
      <c r="G914" s="22">
        <v>180</v>
      </c>
      <c r="H914" s="1" t="str">
        <f t="shared" si="14"/>
        <v>Wed</v>
      </c>
      <c r="I914" s="8" t="s">
        <v>1099</v>
      </c>
      <c r="J914" s="1">
        <v>75</v>
      </c>
    </row>
    <row r="915" spans="2:10" x14ac:dyDescent="0.2">
      <c r="B915" s="4">
        <v>43182</v>
      </c>
      <c r="C915" s="8" t="s">
        <v>1098</v>
      </c>
      <c r="D915" s="1">
        <v>8</v>
      </c>
      <c r="E915" s="9" t="s">
        <v>108</v>
      </c>
      <c r="F915" s="22">
        <v>211</v>
      </c>
      <c r="G915" s="22">
        <v>159</v>
      </c>
      <c r="H915" s="1" t="str">
        <f t="shared" si="14"/>
        <v>Fri</v>
      </c>
      <c r="I915" s="8" t="s">
        <v>1099</v>
      </c>
      <c r="J915" s="1">
        <v>65</v>
      </c>
    </row>
    <row r="916" spans="2:10" x14ac:dyDescent="0.2">
      <c r="B916" s="4">
        <v>43183</v>
      </c>
      <c r="C916" s="8" t="s">
        <v>1095</v>
      </c>
      <c r="D916" s="1">
        <v>12</v>
      </c>
      <c r="E916" s="9" t="s">
        <v>56</v>
      </c>
      <c r="F916" s="22">
        <v>216</v>
      </c>
      <c r="G916" s="22">
        <v>186</v>
      </c>
      <c r="H916" s="1" t="str">
        <f t="shared" si="14"/>
        <v>Sat</v>
      </c>
      <c r="I916" s="8" t="s">
        <v>1099</v>
      </c>
      <c r="J916" s="1">
        <v>75</v>
      </c>
    </row>
    <row r="917" spans="2:10" x14ac:dyDescent="0.2">
      <c r="B917" s="4">
        <v>43185</v>
      </c>
      <c r="C917" s="8" t="s">
        <v>1098</v>
      </c>
      <c r="D917" s="1">
        <v>8</v>
      </c>
      <c r="E917" s="9" t="s">
        <v>98</v>
      </c>
      <c r="F917" s="22">
        <v>147</v>
      </c>
      <c r="G917" s="22">
        <v>182</v>
      </c>
      <c r="H917" s="1" t="str">
        <f t="shared" si="14"/>
        <v>Mon</v>
      </c>
      <c r="I917" s="8" t="s">
        <v>313</v>
      </c>
      <c r="J917" s="1">
        <v>60</v>
      </c>
    </row>
    <row r="918" spans="2:10" x14ac:dyDescent="0.2">
      <c r="B918" s="4">
        <v>43187</v>
      </c>
      <c r="C918" s="8" t="s">
        <v>1095</v>
      </c>
      <c r="D918" s="1">
        <v>8</v>
      </c>
      <c r="E918" s="9" t="s">
        <v>17</v>
      </c>
      <c r="F918" s="22">
        <v>380</v>
      </c>
      <c r="G918" s="22">
        <v>181</v>
      </c>
      <c r="H918" s="1" t="str">
        <f t="shared" si="14"/>
        <v>Wed</v>
      </c>
      <c r="I918" s="8" t="s">
        <v>313</v>
      </c>
      <c r="J918" s="1">
        <v>70</v>
      </c>
    </row>
    <row r="919" spans="2:10" x14ac:dyDescent="0.2">
      <c r="B919" s="4">
        <v>43189</v>
      </c>
      <c r="C919" s="8" t="s">
        <v>1098</v>
      </c>
      <c r="D919" s="1">
        <v>6</v>
      </c>
      <c r="E919" s="9" t="s">
        <v>124</v>
      </c>
      <c r="F919" s="22">
        <v>116</v>
      </c>
      <c r="G919" s="22">
        <v>187</v>
      </c>
      <c r="H919" s="1" t="str">
        <f t="shared" si="14"/>
        <v>Fri</v>
      </c>
      <c r="I919" s="8" t="s">
        <v>313</v>
      </c>
      <c r="J919" s="1">
        <v>60</v>
      </c>
    </row>
    <row r="920" spans="2:10" x14ac:dyDescent="0.2">
      <c r="B920" s="4">
        <v>43193</v>
      </c>
      <c r="C920" s="8" t="s">
        <v>1098</v>
      </c>
      <c r="D920" s="1">
        <v>6</v>
      </c>
      <c r="E920" s="9" t="s">
        <v>107</v>
      </c>
      <c r="F920" s="22">
        <v>96</v>
      </c>
      <c r="G920" s="22">
        <v>181</v>
      </c>
      <c r="H920" s="1" t="str">
        <f t="shared" si="14"/>
        <v>Tue</v>
      </c>
      <c r="I920" s="8" t="s">
        <v>217</v>
      </c>
      <c r="J920" s="1">
        <v>60</v>
      </c>
    </row>
    <row r="921" spans="2:10" x14ac:dyDescent="0.2">
      <c r="B921" s="4">
        <v>43194</v>
      </c>
      <c r="C921" s="8" t="s">
        <v>1095</v>
      </c>
      <c r="D921" s="1">
        <v>6</v>
      </c>
      <c r="E921" s="9" t="s">
        <v>46</v>
      </c>
      <c r="F921" s="22">
        <v>258</v>
      </c>
      <c r="G921" s="22">
        <v>172</v>
      </c>
      <c r="H921" s="1" t="str">
        <f t="shared" si="14"/>
        <v>Wed</v>
      </c>
      <c r="I921" s="8" t="s">
        <v>217</v>
      </c>
      <c r="J921" s="1">
        <v>75</v>
      </c>
    </row>
    <row r="922" spans="2:10" x14ac:dyDescent="0.2">
      <c r="B922" s="4">
        <v>43196</v>
      </c>
      <c r="C922" s="8" t="s">
        <v>1098</v>
      </c>
      <c r="D922" s="1">
        <v>6</v>
      </c>
      <c r="E922" s="9" t="s">
        <v>28</v>
      </c>
      <c r="F922" s="22">
        <v>122</v>
      </c>
      <c r="G922" s="22">
        <v>166</v>
      </c>
      <c r="H922" s="1" t="str">
        <f t="shared" si="14"/>
        <v>Fri</v>
      </c>
      <c r="I922" s="8" t="s">
        <v>217</v>
      </c>
      <c r="J922" s="1">
        <v>65</v>
      </c>
    </row>
    <row r="923" spans="2:10" x14ac:dyDescent="0.2">
      <c r="B923" s="4">
        <v>43197</v>
      </c>
      <c r="C923" s="8" t="s">
        <v>1095</v>
      </c>
      <c r="D923" s="1">
        <v>12</v>
      </c>
      <c r="E923" s="9" t="s">
        <v>58</v>
      </c>
      <c r="F923" s="22">
        <v>361</v>
      </c>
      <c r="G923" s="22">
        <v>190</v>
      </c>
      <c r="H923" s="1" t="str">
        <f t="shared" si="14"/>
        <v>Sat</v>
      </c>
      <c r="I923" s="8" t="s">
        <v>217</v>
      </c>
      <c r="J923" s="1">
        <v>70</v>
      </c>
    </row>
    <row r="924" spans="2:10" x14ac:dyDescent="0.2">
      <c r="B924" s="4">
        <v>43199</v>
      </c>
      <c r="C924" s="8" t="s">
        <v>1098</v>
      </c>
      <c r="D924" s="1">
        <v>8</v>
      </c>
      <c r="E924" s="9" t="s">
        <v>47</v>
      </c>
      <c r="F924" s="22">
        <v>101</v>
      </c>
      <c r="G924" s="22">
        <v>165</v>
      </c>
      <c r="H924" s="1" t="str">
        <f t="shared" si="14"/>
        <v>Mon</v>
      </c>
      <c r="I924" s="8" t="s">
        <v>218</v>
      </c>
      <c r="J924" s="1">
        <v>60</v>
      </c>
    </row>
    <row r="925" spans="2:10" x14ac:dyDescent="0.2">
      <c r="B925" s="4">
        <v>43201</v>
      </c>
      <c r="C925" s="8" t="s">
        <v>1095</v>
      </c>
      <c r="D925" s="1">
        <v>8</v>
      </c>
      <c r="E925" s="9" t="s">
        <v>12</v>
      </c>
      <c r="F925" s="22">
        <v>374</v>
      </c>
      <c r="G925" s="22">
        <v>174</v>
      </c>
      <c r="H925" s="1" t="str">
        <f t="shared" si="14"/>
        <v>Wed</v>
      </c>
      <c r="I925" s="8" t="s">
        <v>218</v>
      </c>
      <c r="J925" s="1">
        <v>75</v>
      </c>
    </row>
    <row r="926" spans="2:10" x14ac:dyDescent="0.2">
      <c r="B926" s="4">
        <v>43203</v>
      </c>
      <c r="C926" s="8" t="s">
        <v>1098</v>
      </c>
      <c r="D926" s="1">
        <v>6</v>
      </c>
      <c r="E926" s="9" t="s">
        <v>13</v>
      </c>
      <c r="F926" s="22">
        <v>85</v>
      </c>
      <c r="G926" s="22">
        <v>178</v>
      </c>
      <c r="H926" s="1" t="str">
        <f t="shared" si="14"/>
        <v>Fri</v>
      </c>
      <c r="I926" s="8" t="s">
        <v>218</v>
      </c>
      <c r="J926" s="1">
        <v>70</v>
      </c>
    </row>
    <row r="927" spans="2:10" x14ac:dyDescent="0.2">
      <c r="B927" s="4">
        <v>43204</v>
      </c>
      <c r="C927" s="8" t="s">
        <v>1095</v>
      </c>
      <c r="D927" s="1">
        <v>12</v>
      </c>
      <c r="E927" s="9" t="s">
        <v>78</v>
      </c>
      <c r="F927" s="22">
        <v>206</v>
      </c>
      <c r="G927" s="22">
        <v>192</v>
      </c>
      <c r="H927" s="1" t="str">
        <f t="shared" si="14"/>
        <v>Sat</v>
      </c>
      <c r="I927" s="8" t="s">
        <v>218</v>
      </c>
      <c r="J927" s="1">
        <v>75</v>
      </c>
    </row>
    <row r="928" spans="2:10" x14ac:dyDescent="0.2">
      <c r="B928" s="4">
        <v>43206</v>
      </c>
      <c r="C928" s="8" t="s">
        <v>1098</v>
      </c>
      <c r="D928" s="1">
        <v>5</v>
      </c>
      <c r="E928" s="9" t="s">
        <v>107</v>
      </c>
      <c r="F928" s="22">
        <v>145</v>
      </c>
      <c r="G928" s="22">
        <v>179</v>
      </c>
      <c r="H928" s="1" t="str">
        <f t="shared" si="14"/>
        <v>Mon</v>
      </c>
      <c r="I928" s="8" t="s">
        <v>313</v>
      </c>
      <c r="J928" s="1">
        <v>60</v>
      </c>
    </row>
    <row r="929" spans="2:10" x14ac:dyDescent="0.2">
      <c r="B929" s="4">
        <v>43208</v>
      </c>
      <c r="C929" s="8" t="s">
        <v>1095</v>
      </c>
      <c r="D929" s="1">
        <v>5</v>
      </c>
      <c r="E929" s="9" t="s">
        <v>150</v>
      </c>
      <c r="F929" s="22">
        <v>222</v>
      </c>
      <c r="G929" s="22">
        <v>181</v>
      </c>
      <c r="H929" s="1" t="str">
        <f t="shared" si="14"/>
        <v>Wed</v>
      </c>
      <c r="I929" s="8" t="s">
        <v>313</v>
      </c>
      <c r="J929" s="1">
        <v>65</v>
      </c>
    </row>
    <row r="930" spans="2:10" x14ac:dyDescent="0.2">
      <c r="B930" s="4">
        <v>43210</v>
      </c>
      <c r="C930" s="8" t="s">
        <v>1098</v>
      </c>
      <c r="D930" s="1">
        <v>6</v>
      </c>
      <c r="E930" s="9" t="s">
        <v>41</v>
      </c>
      <c r="F930" s="22">
        <v>106</v>
      </c>
      <c r="G930" s="22">
        <v>170</v>
      </c>
      <c r="H930" s="1" t="str">
        <f t="shared" si="14"/>
        <v>Fri</v>
      </c>
      <c r="I930" s="8" t="s">
        <v>313</v>
      </c>
      <c r="J930" s="1">
        <v>65</v>
      </c>
    </row>
    <row r="931" spans="2:10" x14ac:dyDescent="0.2">
      <c r="B931" s="4">
        <v>43211</v>
      </c>
      <c r="C931" s="8" t="s">
        <v>1095</v>
      </c>
      <c r="D931" s="1">
        <v>10</v>
      </c>
      <c r="E931" s="9" t="s">
        <v>89</v>
      </c>
      <c r="F931" s="22">
        <v>368</v>
      </c>
      <c r="G931" s="22">
        <v>187</v>
      </c>
      <c r="H931" s="1" t="str">
        <f t="shared" si="14"/>
        <v>Sat</v>
      </c>
      <c r="I931" s="8" t="s">
        <v>313</v>
      </c>
      <c r="J931" s="1">
        <v>70</v>
      </c>
    </row>
    <row r="932" spans="2:10" x14ac:dyDescent="0.2">
      <c r="B932" s="4">
        <v>43213</v>
      </c>
      <c r="C932" s="8" t="s">
        <v>1100</v>
      </c>
      <c r="D932" s="1">
        <v>5</v>
      </c>
      <c r="E932" s="9" t="s">
        <v>11</v>
      </c>
      <c r="F932" s="22">
        <v>140</v>
      </c>
      <c r="G932" s="22">
        <v>177</v>
      </c>
      <c r="H932" s="1" t="str">
        <f t="shared" si="14"/>
        <v>Mon</v>
      </c>
      <c r="I932" s="8" t="s">
        <v>272</v>
      </c>
      <c r="J932" s="1">
        <v>60</v>
      </c>
    </row>
    <row r="933" spans="2:10" x14ac:dyDescent="0.2">
      <c r="B933" s="4">
        <v>43215</v>
      </c>
      <c r="C933" s="8" t="s">
        <v>1095</v>
      </c>
      <c r="D933" s="1">
        <v>5</v>
      </c>
      <c r="E933" s="9" t="s">
        <v>264</v>
      </c>
      <c r="F933" s="22">
        <v>57</v>
      </c>
      <c r="G933" s="22">
        <v>177</v>
      </c>
      <c r="H933" s="1" t="str">
        <f t="shared" si="14"/>
        <v>Wed</v>
      </c>
      <c r="I933" s="8" t="s">
        <v>272</v>
      </c>
      <c r="J933" s="1">
        <v>60</v>
      </c>
    </row>
    <row r="934" spans="2:10" x14ac:dyDescent="0.2">
      <c r="B934" s="4">
        <v>43217</v>
      </c>
      <c r="C934" s="8" t="s">
        <v>1098</v>
      </c>
      <c r="D934" s="1">
        <v>3</v>
      </c>
      <c r="E934" s="9" t="s">
        <v>70</v>
      </c>
      <c r="F934" s="22">
        <v>122</v>
      </c>
      <c r="G934" s="22">
        <v>177</v>
      </c>
      <c r="H934" s="1" t="str">
        <f t="shared" si="14"/>
        <v>Fri</v>
      </c>
      <c r="I934" s="8" t="s">
        <v>272</v>
      </c>
      <c r="J934" s="1">
        <v>60</v>
      </c>
    </row>
    <row r="935" spans="2:10" x14ac:dyDescent="0.2">
      <c r="B935" s="4">
        <v>43218</v>
      </c>
      <c r="C935" s="8" t="s">
        <v>1095</v>
      </c>
      <c r="D935" s="1">
        <v>13</v>
      </c>
      <c r="E935" s="9" t="s">
        <v>1102</v>
      </c>
      <c r="F935" s="22">
        <v>477</v>
      </c>
      <c r="G935" s="22">
        <v>185</v>
      </c>
      <c r="H935" s="1" t="str">
        <f t="shared" si="14"/>
        <v>Sat</v>
      </c>
      <c r="I935" s="8" t="s">
        <v>272</v>
      </c>
      <c r="J935" s="1">
        <v>80</v>
      </c>
    </row>
    <row r="936" spans="2:10" x14ac:dyDescent="0.2">
      <c r="B936" s="4">
        <v>43222</v>
      </c>
      <c r="C936" s="8" t="s">
        <v>1098</v>
      </c>
      <c r="D936" s="1">
        <v>6</v>
      </c>
      <c r="E936" s="9" t="s">
        <v>241</v>
      </c>
      <c r="F936" s="22">
        <v>92</v>
      </c>
      <c r="G936" s="22">
        <v>172</v>
      </c>
      <c r="H936" s="1" t="str">
        <f t="shared" si="14"/>
        <v>Wed</v>
      </c>
      <c r="I936" s="8" t="s">
        <v>313</v>
      </c>
      <c r="J936" s="1">
        <v>60</v>
      </c>
    </row>
    <row r="937" spans="2:10" x14ac:dyDescent="0.2">
      <c r="B937" s="4">
        <v>43223</v>
      </c>
      <c r="C937" s="8" t="s">
        <v>1095</v>
      </c>
      <c r="D937" s="1">
        <v>4</v>
      </c>
      <c r="E937" s="9" t="s">
        <v>61</v>
      </c>
      <c r="F937" s="22">
        <v>62</v>
      </c>
      <c r="G937" s="22">
        <v>169</v>
      </c>
      <c r="H937" s="1" t="str">
        <f t="shared" si="14"/>
        <v>Thu</v>
      </c>
      <c r="I937" s="8" t="s">
        <v>313</v>
      </c>
      <c r="J937" s="1">
        <v>60</v>
      </c>
    </row>
    <row r="938" spans="2:10" x14ac:dyDescent="0.2">
      <c r="B938" s="4">
        <v>43224</v>
      </c>
      <c r="C938" s="8" t="s">
        <v>1098</v>
      </c>
      <c r="D938" s="1">
        <v>6</v>
      </c>
      <c r="E938" s="9" t="s">
        <v>86</v>
      </c>
      <c r="F938" s="22">
        <v>226</v>
      </c>
      <c r="G938" s="22">
        <v>178</v>
      </c>
      <c r="H938" s="1" t="str">
        <f t="shared" si="14"/>
        <v>Fri</v>
      </c>
      <c r="I938" s="8" t="s">
        <v>313</v>
      </c>
      <c r="J938" s="1">
        <v>60</v>
      </c>
    </row>
    <row r="939" spans="2:10" x14ac:dyDescent="0.2">
      <c r="B939" s="4">
        <v>43225</v>
      </c>
      <c r="C939" s="8" t="s">
        <v>1095</v>
      </c>
      <c r="D939" s="1">
        <v>10</v>
      </c>
      <c r="E939" s="9" t="s">
        <v>70</v>
      </c>
      <c r="F939" s="22">
        <v>150</v>
      </c>
      <c r="G939" s="22">
        <v>183</v>
      </c>
      <c r="H939" s="1" t="str">
        <f t="shared" si="14"/>
        <v>Sat</v>
      </c>
      <c r="I939" s="8" t="s">
        <v>313</v>
      </c>
      <c r="J939" s="1">
        <v>60</v>
      </c>
    </row>
    <row r="940" spans="2:10" x14ac:dyDescent="0.2">
      <c r="B940" s="4">
        <v>43227</v>
      </c>
      <c r="C940" s="8" t="s">
        <v>1095</v>
      </c>
      <c r="D940" s="1">
        <v>7</v>
      </c>
      <c r="E940" s="9" t="s">
        <v>55</v>
      </c>
      <c r="F940" s="22">
        <v>95</v>
      </c>
      <c r="G940" s="22">
        <v>158</v>
      </c>
      <c r="H940" s="1" t="str">
        <f t="shared" si="14"/>
        <v>Mon</v>
      </c>
      <c r="I940" s="8" t="s">
        <v>217</v>
      </c>
      <c r="J940" s="1">
        <v>65</v>
      </c>
    </row>
    <row r="941" spans="2:10" x14ac:dyDescent="0.2">
      <c r="B941" s="4">
        <v>43228</v>
      </c>
      <c r="C941" s="8" t="s">
        <v>1098</v>
      </c>
      <c r="D941" s="1">
        <v>4</v>
      </c>
      <c r="E941" s="9" t="s">
        <v>16</v>
      </c>
      <c r="F941" s="22">
        <v>141</v>
      </c>
      <c r="G941" s="22">
        <v>157</v>
      </c>
      <c r="H941" s="1" t="str">
        <f t="shared" si="14"/>
        <v>Tue</v>
      </c>
      <c r="I941" s="8" t="s">
        <v>217</v>
      </c>
      <c r="J941" s="1">
        <v>65</v>
      </c>
    </row>
    <row r="942" spans="2:10" x14ac:dyDescent="0.2">
      <c r="B942" s="4">
        <v>43229</v>
      </c>
      <c r="C942" s="8" t="s">
        <v>1095</v>
      </c>
      <c r="D942" s="1">
        <v>7</v>
      </c>
      <c r="E942" s="9" t="s">
        <v>55</v>
      </c>
      <c r="F942" s="22">
        <v>313</v>
      </c>
      <c r="G942" s="22">
        <v>170</v>
      </c>
      <c r="H942" s="1" t="str">
        <f t="shared" si="14"/>
        <v>Wed</v>
      </c>
      <c r="I942" s="8" t="s">
        <v>217</v>
      </c>
      <c r="J942" s="1">
        <v>65</v>
      </c>
    </row>
    <row r="943" spans="2:10" x14ac:dyDescent="0.2">
      <c r="B943" s="4">
        <v>43230</v>
      </c>
      <c r="C943" s="8" t="s">
        <v>1098</v>
      </c>
      <c r="D943" s="1">
        <v>4</v>
      </c>
      <c r="E943" s="9" t="s">
        <v>28</v>
      </c>
      <c r="F943" s="22">
        <v>122</v>
      </c>
      <c r="G943" s="22">
        <v>159</v>
      </c>
      <c r="H943" s="1" t="str">
        <f t="shared" si="14"/>
        <v>Thu</v>
      </c>
      <c r="I943" s="8" t="s">
        <v>217</v>
      </c>
      <c r="J943" s="1">
        <v>60</v>
      </c>
    </row>
    <row r="944" spans="2:10" x14ac:dyDescent="0.2">
      <c r="B944" s="4">
        <v>43231</v>
      </c>
      <c r="C944" s="8" t="s">
        <v>1095</v>
      </c>
      <c r="D944" s="1">
        <v>7</v>
      </c>
      <c r="E944" s="9" t="s">
        <v>58</v>
      </c>
      <c r="F944" s="22">
        <v>96</v>
      </c>
      <c r="G944" s="22">
        <v>169</v>
      </c>
      <c r="H944" s="1" t="str">
        <f t="shared" si="14"/>
        <v>Fri</v>
      </c>
      <c r="I944" s="8" t="s">
        <v>217</v>
      </c>
      <c r="J944" s="1">
        <v>65</v>
      </c>
    </row>
    <row r="945" spans="2:10" x14ac:dyDescent="0.2">
      <c r="B945" s="4">
        <v>43232</v>
      </c>
      <c r="C945" s="8" t="s">
        <v>1098</v>
      </c>
      <c r="D945" s="1">
        <v>12</v>
      </c>
      <c r="E945" s="9" t="s">
        <v>64</v>
      </c>
      <c r="F945" s="22">
        <v>745</v>
      </c>
      <c r="G945" s="22">
        <v>189</v>
      </c>
      <c r="H945" s="1" t="str">
        <f t="shared" si="14"/>
        <v>Sat</v>
      </c>
      <c r="I945" s="8" t="s">
        <v>217</v>
      </c>
      <c r="J945" s="1">
        <v>75</v>
      </c>
    </row>
    <row r="946" spans="2:10" x14ac:dyDescent="0.2">
      <c r="B946" s="4">
        <v>43234</v>
      </c>
      <c r="C946" s="8" t="s">
        <v>1098</v>
      </c>
      <c r="D946" s="1">
        <v>6</v>
      </c>
      <c r="E946" s="9" t="s">
        <v>55</v>
      </c>
      <c r="F946" s="22">
        <v>60</v>
      </c>
      <c r="G946" s="22">
        <v>172</v>
      </c>
      <c r="H946" s="1" t="str">
        <f t="shared" si="14"/>
        <v>Mon</v>
      </c>
      <c r="I946" s="8" t="s">
        <v>218</v>
      </c>
      <c r="J946" s="1">
        <v>65</v>
      </c>
    </row>
    <row r="947" spans="2:10" x14ac:dyDescent="0.2">
      <c r="B947" s="4">
        <v>43235</v>
      </c>
      <c r="C947" s="8" t="s">
        <v>1095</v>
      </c>
      <c r="D947" s="1">
        <v>4</v>
      </c>
      <c r="E947" s="9" t="s">
        <v>16</v>
      </c>
      <c r="F947" s="22">
        <v>147</v>
      </c>
      <c r="G947" s="22">
        <v>160</v>
      </c>
      <c r="H947" s="1" t="str">
        <f t="shared" si="14"/>
        <v>Tue</v>
      </c>
      <c r="I947" s="8" t="s">
        <v>218</v>
      </c>
      <c r="J947" s="1">
        <v>65</v>
      </c>
    </row>
    <row r="948" spans="2:10" x14ac:dyDescent="0.2">
      <c r="B948" s="4">
        <v>43236</v>
      </c>
      <c r="C948" s="8" t="s">
        <v>1098</v>
      </c>
      <c r="D948" s="1">
        <v>7</v>
      </c>
      <c r="E948" s="9" t="s">
        <v>30</v>
      </c>
      <c r="F948" s="22">
        <v>212</v>
      </c>
      <c r="G948" s="22">
        <v>168</v>
      </c>
      <c r="H948" s="1" t="str">
        <f t="shared" si="14"/>
        <v>Wed</v>
      </c>
      <c r="I948" s="8" t="s">
        <v>218</v>
      </c>
      <c r="J948" s="1">
        <v>75</v>
      </c>
    </row>
    <row r="949" spans="2:10" x14ac:dyDescent="0.2">
      <c r="B949" s="4">
        <v>43237</v>
      </c>
      <c r="C949" s="8" t="s">
        <v>1095</v>
      </c>
      <c r="D949" s="1">
        <v>4</v>
      </c>
      <c r="E949" s="9" t="s">
        <v>150</v>
      </c>
      <c r="F949" s="22">
        <v>129</v>
      </c>
      <c r="G949" s="22">
        <v>176</v>
      </c>
      <c r="H949" s="1" t="str">
        <f t="shared" si="14"/>
        <v>Thu</v>
      </c>
      <c r="I949" s="8" t="s">
        <v>218</v>
      </c>
      <c r="J949" s="1">
        <v>60</v>
      </c>
    </row>
    <row r="950" spans="2:10" x14ac:dyDescent="0.2">
      <c r="B950" s="4">
        <v>43238</v>
      </c>
      <c r="C950" s="8" t="s">
        <v>1098</v>
      </c>
      <c r="D950" s="1">
        <v>6</v>
      </c>
      <c r="E950" s="9" t="s">
        <v>55</v>
      </c>
      <c r="F950" s="22">
        <v>102</v>
      </c>
      <c r="G950" s="22">
        <v>181</v>
      </c>
      <c r="H950" s="1" t="str">
        <f t="shared" si="14"/>
        <v>Fri</v>
      </c>
      <c r="I950" s="8" t="s">
        <v>218</v>
      </c>
      <c r="J950" s="1">
        <v>60</v>
      </c>
    </row>
    <row r="951" spans="2:10" x14ac:dyDescent="0.2">
      <c r="B951" s="4">
        <v>43239</v>
      </c>
      <c r="C951" s="8" t="s">
        <v>1095</v>
      </c>
      <c r="D951" s="1">
        <v>12</v>
      </c>
      <c r="E951" s="9" t="s">
        <v>55</v>
      </c>
      <c r="F951" s="22">
        <v>211</v>
      </c>
      <c r="G951" s="22">
        <v>189</v>
      </c>
      <c r="H951" s="1" t="str">
        <f t="shared" si="14"/>
        <v>Sat</v>
      </c>
      <c r="I951" s="8" t="s">
        <v>218</v>
      </c>
      <c r="J951" s="1">
        <v>70</v>
      </c>
    </row>
    <row r="952" spans="2:10" x14ac:dyDescent="0.2">
      <c r="B952" s="4">
        <v>43241</v>
      </c>
      <c r="C952" t="s">
        <v>1100</v>
      </c>
      <c r="D952" s="1">
        <v>5</v>
      </c>
      <c r="E952" s="9" t="s">
        <v>58</v>
      </c>
      <c r="F952" s="22">
        <v>155</v>
      </c>
      <c r="G952" s="22">
        <v>173</v>
      </c>
      <c r="H952" s="1" t="str">
        <f t="shared" si="14"/>
        <v>Mon</v>
      </c>
      <c r="I952" s="8" t="s">
        <v>313</v>
      </c>
      <c r="J952" s="1">
        <v>65</v>
      </c>
    </row>
    <row r="953" spans="2:10" x14ac:dyDescent="0.2">
      <c r="B953" s="4">
        <v>43243</v>
      </c>
      <c r="C953" t="s">
        <v>1100</v>
      </c>
      <c r="D953" s="1">
        <v>4</v>
      </c>
      <c r="E953" s="9" t="s">
        <v>55</v>
      </c>
      <c r="F953" s="22">
        <v>12</v>
      </c>
      <c r="G953" s="22">
        <v>175</v>
      </c>
      <c r="H953" s="1" t="str">
        <f t="shared" si="14"/>
        <v>Wed</v>
      </c>
      <c r="I953" s="8" t="s">
        <v>313</v>
      </c>
      <c r="J953" s="1">
        <v>65</v>
      </c>
    </row>
    <row r="954" spans="2:10" x14ac:dyDescent="0.2">
      <c r="B954" s="4">
        <v>43245</v>
      </c>
      <c r="C954" t="s">
        <v>1100</v>
      </c>
      <c r="D954" s="1">
        <v>4</v>
      </c>
      <c r="E954" s="9" t="s">
        <v>67</v>
      </c>
      <c r="F954" s="22">
        <v>158</v>
      </c>
      <c r="G954" s="22">
        <v>173</v>
      </c>
      <c r="H954" s="1" t="str">
        <f t="shared" si="14"/>
        <v>Fri</v>
      </c>
      <c r="I954" s="8" t="s">
        <v>313</v>
      </c>
      <c r="J954" s="1">
        <v>65</v>
      </c>
    </row>
    <row r="955" spans="2:10" x14ac:dyDescent="0.2">
      <c r="B955" s="4">
        <v>43246</v>
      </c>
      <c r="C955" t="s">
        <v>1098</v>
      </c>
      <c r="D955" s="1">
        <v>10</v>
      </c>
      <c r="E955" s="9" t="s">
        <v>26</v>
      </c>
      <c r="F955" s="22">
        <v>261</v>
      </c>
      <c r="G955" s="22">
        <v>189</v>
      </c>
      <c r="H955" s="1" t="str">
        <f t="shared" si="14"/>
        <v>Sat</v>
      </c>
      <c r="I955" s="8" t="s">
        <v>313</v>
      </c>
      <c r="J955" s="1">
        <v>65</v>
      </c>
    </row>
    <row r="956" spans="2:10" x14ac:dyDescent="0.2">
      <c r="B956" s="4">
        <v>43248</v>
      </c>
      <c r="C956" t="s">
        <v>1098</v>
      </c>
      <c r="D956" s="1">
        <v>10</v>
      </c>
      <c r="E956" s="9" t="s">
        <v>55</v>
      </c>
      <c r="F956" s="22">
        <v>218</v>
      </c>
      <c r="G956" s="22">
        <v>181</v>
      </c>
      <c r="H956" s="1" t="str">
        <f t="shared" si="14"/>
        <v>Mon</v>
      </c>
      <c r="I956" s="8" t="s">
        <v>217</v>
      </c>
      <c r="J956" s="1">
        <v>65</v>
      </c>
    </row>
    <row r="957" spans="2:10" x14ac:dyDescent="0.2">
      <c r="B957" s="4">
        <v>43250</v>
      </c>
      <c r="C957" t="s">
        <v>1100</v>
      </c>
      <c r="D957" s="1">
        <v>10</v>
      </c>
      <c r="E957" s="9" t="s">
        <v>26</v>
      </c>
      <c r="F957" s="22">
        <v>408</v>
      </c>
      <c r="G957" s="22">
        <v>179</v>
      </c>
      <c r="H957" s="1" t="str">
        <f t="shared" si="14"/>
        <v>Wed</v>
      </c>
      <c r="I957" s="8" t="s">
        <v>217</v>
      </c>
      <c r="J957" s="1">
        <v>70</v>
      </c>
    </row>
    <row r="958" spans="2:10" x14ac:dyDescent="0.2">
      <c r="B958" s="4">
        <v>43252</v>
      </c>
      <c r="C958" t="s">
        <v>1098</v>
      </c>
      <c r="D958" s="1">
        <v>4</v>
      </c>
      <c r="E958" s="9" t="s">
        <v>26</v>
      </c>
      <c r="F958" s="22">
        <v>0</v>
      </c>
      <c r="G958" s="22">
        <v>180</v>
      </c>
      <c r="H958" s="1" t="str">
        <f t="shared" si="14"/>
        <v>Fri</v>
      </c>
      <c r="I958" s="8" t="s">
        <v>217</v>
      </c>
      <c r="J958" s="1">
        <v>65</v>
      </c>
    </row>
    <row r="959" spans="2:10" x14ac:dyDescent="0.2">
      <c r="B959" s="4">
        <v>43253</v>
      </c>
      <c r="C959" t="s">
        <v>1100</v>
      </c>
      <c r="D959" s="1">
        <v>13</v>
      </c>
      <c r="E959" s="9" t="s">
        <v>26</v>
      </c>
      <c r="F959" s="22">
        <v>434</v>
      </c>
      <c r="G959" s="22">
        <v>185</v>
      </c>
      <c r="H959" s="1" t="str">
        <f t="shared" si="14"/>
        <v>Sat</v>
      </c>
      <c r="I959" s="8" t="s">
        <v>217</v>
      </c>
      <c r="J959" s="1">
        <v>75</v>
      </c>
    </row>
    <row r="960" spans="2:10" x14ac:dyDescent="0.2">
      <c r="B960" s="4">
        <v>43255</v>
      </c>
      <c r="C960" t="s">
        <v>1100</v>
      </c>
      <c r="D960" s="1">
        <v>10</v>
      </c>
      <c r="E960" s="9" t="s">
        <v>55</v>
      </c>
      <c r="F960" s="22">
        <v>129</v>
      </c>
      <c r="G960" s="22">
        <v>180</v>
      </c>
      <c r="H960" s="1" t="str">
        <f t="shared" si="14"/>
        <v>Mon</v>
      </c>
      <c r="I960" s="8" t="s">
        <v>218</v>
      </c>
      <c r="J960" s="1">
        <v>65</v>
      </c>
    </row>
    <row r="961" spans="2:10" x14ac:dyDescent="0.2">
      <c r="B961" s="4">
        <v>43257</v>
      </c>
      <c r="C961" t="s">
        <v>1098</v>
      </c>
      <c r="D961" s="1">
        <v>10</v>
      </c>
      <c r="E961" s="9" t="s">
        <v>67</v>
      </c>
      <c r="F961" s="22">
        <v>490</v>
      </c>
      <c r="G961" s="22">
        <v>185</v>
      </c>
      <c r="H961" s="1" t="str">
        <f t="shared" si="14"/>
        <v>Wed</v>
      </c>
      <c r="I961" s="8" t="s">
        <v>218</v>
      </c>
      <c r="J961" s="1">
        <v>70</v>
      </c>
    </row>
    <row r="962" spans="2:10" x14ac:dyDescent="0.2">
      <c r="B962" s="4">
        <v>43259</v>
      </c>
      <c r="C962" t="s">
        <v>1100</v>
      </c>
      <c r="D962" s="1">
        <v>8</v>
      </c>
      <c r="E962" s="9" t="s">
        <v>108</v>
      </c>
      <c r="F962" s="22">
        <v>138</v>
      </c>
      <c r="G962" s="22">
        <v>185</v>
      </c>
      <c r="H962" s="1" t="str">
        <f t="shared" si="14"/>
        <v>Fri</v>
      </c>
      <c r="I962" s="8" t="s">
        <v>218</v>
      </c>
      <c r="J962" s="1">
        <v>65</v>
      </c>
    </row>
    <row r="963" spans="2:10" x14ac:dyDescent="0.2">
      <c r="B963" s="4">
        <v>43260</v>
      </c>
      <c r="C963" t="s">
        <v>1098</v>
      </c>
      <c r="D963" s="1">
        <v>13</v>
      </c>
      <c r="E963" s="9" t="s">
        <v>150</v>
      </c>
      <c r="F963" s="22">
        <v>289</v>
      </c>
      <c r="G963" s="22">
        <v>188</v>
      </c>
      <c r="H963" s="1" t="str">
        <f t="shared" si="14"/>
        <v>Sat</v>
      </c>
      <c r="I963" s="8" t="s">
        <v>218</v>
      </c>
      <c r="J963" s="1">
        <v>70</v>
      </c>
    </row>
    <row r="964" spans="2:10" x14ac:dyDescent="0.2">
      <c r="B964" s="4">
        <v>43262</v>
      </c>
      <c r="C964" t="s">
        <v>1100</v>
      </c>
      <c r="D964" s="1">
        <v>5</v>
      </c>
      <c r="E964" s="9" t="s">
        <v>28</v>
      </c>
      <c r="F964" s="22">
        <v>181</v>
      </c>
      <c r="G964" s="22">
        <v>184</v>
      </c>
      <c r="H964" s="1" t="str">
        <f t="shared" si="14"/>
        <v>Mon</v>
      </c>
      <c r="I964" s="8" t="s">
        <v>313</v>
      </c>
      <c r="J964" s="1">
        <v>60</v>
      </c>
    </row>
    <row r="965" spans="2:10" x14ac:dyDescent="0.2">
      <c r="B965" s="4">
        <v>43266</v>
      </c>
      <c r="C965" t="s">
        <v>1100</v>
      </c>
      <c r="D965" s="1">
        <v>4</v>
      </c>
      <c r="E965" s="9" t="s">
        <v>64</v>
      </c>
      <c r="F965" s="22">
        <v>77</v>
      </c>
      <c r="G965" s="22">
        <v>180</v>
      </c>
      <c r="H965" s="1" t="str">
        <f t="shared" si="14"/>
        <v>Fri</v>
      </c>
      <c r="I965" s="8" t="s">
        <v>313</v>
      </c>
      <c r="J965" s="1">
        <v>60</v>
      </c>
    </row>
    <row r="966" spans="2:10" x14ac:dyDescent="0.2">
      <c r="B966" s="4">
        <v>43267</v>
      </c>
      <c r="C966" t="s">
        <v>1098</v>
      </c>
      <c r="D966" s="1">
        <v>10</v>
      </c>
      <c r="E966" s="9" t="s">
        <v>55</v>
      </c>
      <c r="F966" s="22">
        <v>265</v>
      </c>
      <c r="G966" s="22">
        <v>188</v>
      </c>
      <c r="H966" s="1" t="str">
        <f t="shared" si="14"/>
        <v>Sat</v>
      </c>
      <c r="I966" s="8" t="s">
        <v>313</v>
      </c>
      <c r="J966" s="1">
        <v>65</v>
      </c>
    </row>
    <row r="967" spans="2:10" x14ac:dyDescent="0.2">
      <c r="B967" s="4">
        <v>43269</v>
      </c>
      <c r="C967" t="s">
        <v>1098</v>
      </c>
      <c r="D967" s="1">
        <v>6</v>
      </c>
      <c r="E967" s="9" t="s">
        <v>16</v>
      </c>
      <c r="F967" s="22">
        <v>203</v>
      </c>
      <c r="G967" s="22">
        <v>163</v>
      </c>
      <c r="H967" s="1" t="str">
        <f t="shared" si="14"/>
        <v>Mon</v>
      </c>
      <c r="I967" s="8" t="s">
        <v>217</v>
      </c>
      <c r="J967" s="1">
        <v>65</v>
      </c>
    </row>
    <row r="968" spans="2:10" x14ac:dyDescent="0.2">
      <c r="B968" s="4">
        <v>43271</v>
      </c>
      <c r="C968" t="s">
        <v>1100</v>
      </c>
      <c r="D968" s="1">
        <v>10</v>
      </c>
      <c r="E968" s="9" t="s">
        <v>44</v>
      </c>
      <c r="F968" s="22">
        <v>220</v>
      </c>
      <c r="G968" s="22">
        <v>166</v>
      </c>
      <c r="H968" s="1" t="str">
        <f t="shared" si="14"/>
        <v>Wed</v>
      </c>
      <c r="I968" s="8" t="s">
        <v>217</v>
      </c>
      <c r="J968" s="1">
        <v>75</v>
      </c>
    </row>
    <row r="969" spans="2:10" x14ac:dyDescent="0.2">
      <c r="B969" s="4">
        <v>43273</v>
      </c>
      <c r="C969" t="s">
        <v>1098</v>
      </c>
      <c r="D969" s="1">
        <v>6</v>
      </c>
      <c r="E969" s="9" t="s">
        <v>68</v>
      </c>
      <c r="F969" s="22">
        <v>217</v>
      </c>
      <c r="G969" s="22">
        <v>176</v>
      </c>
      <c r="H969" s="1" t="str">
        <f t="shared" si="14"/>
        <v>Fri</v>
      </c>
      <c r="I969" s="8" t="s">
        <v>217</v>
      </c>
      <c r="J969" s="1">
        <v>60</v>
      </c>
    </row>
    <row r="970" spans="2:10" x14ac:dyDescent="0.2">
      <c r="B970" s="4">
        <v>43274</v>
      </c>
      <c r="C970" t="s">
        <v>1100</v>
      </c>
      <c r="D970" s="1">
        <v>15</v>
      </c>
      <c r="E970" s="9" t="s">
        <v>125</v>
      </c>
      <c r="F970" s="22">
        <v>1079</v>
      </c>
      <c r="G970" s="22">
        <v>179</v>
      </c>
      <c r="H970" s="1" t="str">
        <f t="shared" si="14"/>
        <v>Sat</v>
      </c>
      <c r="I970" s="8" t="s">
        <v>217</v>
      </c>
      <c r="J970" s="1">
        <v>60</v>
      </c>
    </row>
    <row r="971" spans="2:10" x14ac:dyDescent="0.2">
      <c r="B971" s="4">
        <v>43276</v>
      </c>
      <c r="C971" t="s">
        <v>1100</v>
      </c>
      <c r="D971" s="1">
        <v>3</v>
      </c>
      <c r="E971" s="9" t="s">
        <v>297</v>
      </c>
      <c r="F971" s="22">
        <v>165</v>
      </c>
      <c r="G971" s="22">
        <v>182</v>
      </c>
      <c r="H971" s="1" t="str">
        <f t="shared" si="14"/>
        <v>Mon</v>
      </c>
      <c r="I971" s="8" t="s">
        <v>218</v>
      </c>
      <c r="J971" s="1">
        <v>60</v>
      </c>
    </row>
    <row r="972" spans="2:10" x14ac:dyDescent="0.2">
      <c r="B972" s="4">
        <v>43277</v>
      </c>
      <c r="C972" t="s">
        <v>1098</v>
      </c>
      <c r="D972" s="1">
        <v>6</v>
      </c>
      <c r="E972" s="9" t="s">
        <v>118</v>
      </c>
      <c r="F972" s="22">
        <v>229</v>
      </c>
      <c r="G972" s="22">
        <v>181</v>
      </c>
      <c r="H972" s="1" t="str">
        <f t="shared" si="14"/>
        <v>Tue</v>
      </c>
      <c r="I972" s="8" t="s">
        <v>218</v>
      </c>
      <c r="J972" s="1">
        <v>60</v>
      </c>
    </row>
    <row r="973" spans="2:10" x14ac:dyDescent="0.2">
      <c r="B973" s="4">
        <v>43279</v>
      </c>
      <c r="C973" t="s">
        <v>1100</v>
      </c>
      <c r="D973" s="1">
        <v>4</v>
      </c>
      <c r="E973" s="9" t="s">
        <v>150</v>
      </c>
      <c r="F973" s="22">
        <v>103</v>
      </c>
      <c r="G973" s="22">
        <v>180</v>
      </c>
      <c r="H973" s="1" t="str">
        <f t="shared" si="14"/>
        <v>Thu</v>
      </c>
      <c r="I973" s="8" t="s">
        <v>218</v>
      </c>
      <c r="J973" s="1">
        <v>65</v>
      </c>
    </row>
    <row r="974" spans="2:10" x14ac:dyDescent="0.2">
      <c r="B974" s="4">
        <v>43280</v>
      </c>
      <c r="C974" t="s">
        <v>1098</v>
      </c>
      <c r="D974" s="1">
        <v>9</v>
      </c>
      <c r="E974" s="9" t="s">
        <v>67</v>
      </c>
      <c r="F974" s="22">
        <v>90</v>
      </c>
      <c r="G974" s="22">
        <v>187</v>
      </c>
      <c r="H974" s="1" t="str">
        <f t="shared" si="14"/>
        <v>Fri</v>
      </c>
      <c r="I974" s="8" t="s">
        <v>218</v>
      </c>
      <c r="J974" s="1">
        <v>65</v>
      </c>
    </row>
    <row r="975" spans="2:10" x14ac:dyDescent="0.2">
      <c r="B975" s="4">
        <v>43281</v>
      </c>
      <c r="C975" t="s">
        <v>1098</v>
      </c>
      <c r="D975" s="1">
        <v>7</v>
      </c>
      <c r="E975" s="9" t="s">
        <v>141</v>
      </c>
      <c r="F975" s="22">
        <v>132</v>
      </c>
      <c r="G975" s="22">
        <v>183</v>
      </c>
      <c r="H975" s="1" t="str">
        <f t="shared" si="14"/>
        <v>Sat</v>
      </c>
      <c r="I975" s="8" t="s">
        <v>218</v>
      </c>
      <c r="J975" s="1">
        <v>75</v>
      </c>
    </row>
    <row r="976" spans="2:10" x14ac:dyDescent="0.2">
      <c r="B976" s="4">
        <v>43284</v>
      </c>
      <c r="C976" t="s">
        <v>1100</v>
      </c>
      <c r="D976" s="1">
        <v>10</v>
      </c>
      <c r="E976" s="9" t="s">
        <v>53</v>
      </c>
      <c r="F976" s="22">
        <v>91</v>
      </c>
      <c r="G976" s="22">
        <v>186</v>
      </c>
      <c r="H976" s="1" t="str">
        <f t="shared" si="14"/>
        <v>Tue</v>
      </c>
      <c r="I976" s="8" t="s">
        <v>313</v>
      </c>
      <c r="J976" s="1">
        <v>65</v>
      </c>
    </row>
    <row r="977" spans="2:10" x14ac:dyDescent="0.2">
      <c r="B977" s="4">
        <v>43286</v>
      </c>
      <c r="C977" t="s">
        <v>1100</v>
      </c>
      <c r="D977" s="1">
        <v>7</v>
      </c>
      <c r="E977" s="9" t="s">
        <v>25</v>
      </c>
      <c r="F977" s="22">
        <v>69</v>
      </c>
      <c r="G977" s="22">
        <v>189</v>
      </c>
      <c r="H977" s="1" t="str">
        <f t="shared" si="14"/>
        <v>Thu</v>
      </c>
      <c r="I977" s="8" t="s">
        <v>313</v>
      </c>
      <c r="J977" s="1">
        <v>65</v>
      </c>
    </row>
    <row r="978" spans="2:10" x14ac:dyDescent="0.2">
      <c r="B978" s="4">
        <v>43288</v>
      </c>
      <c r="C978" t="s">
        <v>1098</v>
      </c>
      <c r="D978" s="1">
        <v>10</v>
      </c>
      <c r="E978" s="9" t="s">
        <v>150</v>
      </c>
      <c r="F978" s="22">
        <v>278</v>
      </c>
      <c r="G978" s="22">
        <v>188</v>
      </c>
      <c r="H978" s="1" t="str">
        <f t="shared" si="14"/>
        <v>Sat</v>
      </c>
      <c r="I978" s="8" t="s">
        <v>313</v>
      </c>
      <c r="J978" s="1">
        <v>60</v>
      </c>
    </row>
    <row r="979" spans="2:10" x14ac:dyDescent="0.2">
      <c r="B979" s="4">
        <v>43290</v>
      </c>
      <c r="C979" t="s">
        <v>1100</v>
      </c>
      <c r="D979" s="1">
        <v>8</v>
      </c>
      <c r="E979" s="9" t="s">
        <v>55</v>
      </c>
      <c r="F979" s="22">
        <v>358</v>
      </c>
      <c r="G979" s="22">
        <v>184</v>
      </c>
      <c r="H979" s="1" t="str">
        <f t="shared" si="14"/>
        <v>Mon</v>
      </c>
      <c r="I979" s="8" t="s">
        <v>217</v>
      </c>
      <c r="J979" s="1">
        <v>70</v>
      </c>
    </row>
    <row r="980" spans="2:10" x14ac:dyDescent="0.2">
      <c r="B980" s="4">
        <v>43292</v>
      </c>
      <c r="C980" t="s">
        <v>1098</v>
      </c>
      <c r="D980" s="1">
        <v>7</v>
      </c>
      <c r="E980" s="9" t="s">
        <v>12</v>
      </c>
      <c r="F980" s="22">
        <v>315</v>
      </c>
      <c r="G980" s="22">
        <v>172</v>
      </c>
      <c r="H980" s="1" t="str">
        <f t="shared" si="14"/>
        <v>Wed</v>
      </c>
      <c r="I980" s="8" t="s">
        <v>217</v>
      </c>
      <c r="J980" s="1">
        <v>75</v>
      </c>
    </row>
    <row r="981" spans="2:10" x14ac:dyDescent="0.2">
      <c r="B981" s="4">
        <v>43294</v>
      </c>
      <c r="C981" t="s">
        <v>1098</v>
      </c>
      <c r="D981" s="1">
        <v>5</v>
      </c>
      <c r="E981" s="9" t="s">
        <v>55</v>
      </c>
      <c r="F981" s="22">
        <v>158</v>
      </c>
      <c r="G981" s="22">
        <v>183</v>
      </c>
      <c r="H981" s="1" t="str">
        <f t="shared" si="14"/>
        <v>Fri</v>
      </c>
      <c r="I981" s="8" t="s">
        <v>217</v>
      </c>
      <c r="J981" s="1">
        <v>65</v>
      </c>
    </row>
    <row r="982" spans="2:10" x14ac:dyDescent="0.2">
      <c r="B982" s="4">
        <v>43295</v>
      </c>
      <c r="C982" t="s">
        <v>1100</v>
      </c>
      <c r="D982" s="1">
        <v>10</v>
      </c>
      <c r="E982" s="9" t="s">
        <v>98</v>
      </c>
      <c r="F982" s="22">
        <v>710</v>
      </c>
      <c r="G982" s="22">
        <v>182</v>
      </c>
      <c r="H982" s="1" t="str">
        <f t="shared" si="14"/>
        <v>Sat</v>
      </c>
      <c r="I982" s="8" t="s">
        <v>217</v>
      </c>
      <c r="J982" s="1">
        <v>80</v>
      </c>
    </row>
    <row r="983" spans="2:10" x14ac:dyDescent="0.2">
      <c r="B983" s="4">
        <v>43297</v>
      </c>
      <c r="C983" t="s">
        <v>1098</v>
      </c>
      <c r="D983" s="1">
        <v>5</v>
      </c>
      <c r="E983" s="9" t="s">
        <v>55</v>
      </c>
      <c r="F983" s="22">
        <v>187</v>
      </c>
      <c r="G983" s="22">
        <v>185</v>
      </c>
      <c r="H983" s="1" t="str">
        <f t="shared" si="14"/>
        <v>Mon</v>
      </c>
      <c r="I983" s="8" t="s">
        <v>218</v>
      </c>
      <c r="J983" s="1">
        <v>65</v>
      </c>
    </row>
    <row r="984" spans="2:10" x14ac:dyDescent="0.2">
      <c r="B984" s="4">
        <v>43299</v>
      </c>
      <c r="C984" t="s">
        <v>1100</v>
      </c>
      <c r="D984" s="1">
        <v>5</v>
      </c>
      <c r="E984" s="9" t="s">
        <v>44</v>
      </c>
      <c r="F984" s="22">
        <v>131</v>
      </c>
      <c r="G984" s="22">
        <v>173</v>
      </c>
      <c r="H984" s="1" t="str">
        <f t="shared" si="14"/>
        <v>Wed</v>
      </c>
      <c r="I984" s="8" t="s">
        <v>218</v>
      </c>
      <c r="J984" s="1">
        <v>75</v>
      </c>
    </row>
    <row r="985" spans="2:10" x14ac:dyDescent="0.2">
      <c r="B985" s="35">
        <v>43301</v>
      </c>
      <c r="C985" t="s">
        <v>1098</v>
      </c>
      <c r="D985" s="1">
        <v>4</v>
      </c>
      <c r="E985" s="9" t="s">
        <v>50</v>
      </c>
      <c r="F985" s="22">
        <v>76</v>
      </c>
      <c r="G985" s="22">
        <v>183</v>
      </c>
      <c r="H985" s="1" t="str">
        <f t="shared" si="14"/>
        <v>Fri</v>
      </c>
      <c r="I985" s="8" t="s">
        <v>218</v>
      </c>
      <c r="J985" s="1">
        <v>65</v>
      </c>
    </row>
    <row r="986" spans="2:10" x14ac:dyDescent="0.2">
      <c r="B986" s="4">
        <v>43302</v>
      </c>
      <c r="C986" t="s">
        <v>1100</v>
      </c>
      <c r="D986" s="1">
        <v>13</v>
      </c>
      <c r="E986" s="9" t="s">
        <v>10</v>
      </c>
      <c r="F986" s="22">
        <v>269</v>
      </c>
      <c r="G986" s="22">
        <v>188</v>
      </c>
      <c r="H986" s="1" t="str">
        <f t="shared" si="14"/>
        <v>Sat</v>
      </c>
      <c r="I986" s="8" t="s">
        <v>218</v>
      </c>
      <c r="J986" s="1">
        <v>70</v>
      </c>
    </row>
    <row r="987" spans="2:10" x14ac:dyDescent="0.2">
      <c r="B987" s="4">
        <v>43304</v>
      </c>
      <c r="C987" t="s">
        <v>1098</v>
      </c>
      <c r="D987" s="1">
        <v>6</v>
      </c>
      <c r="E987" s="9" t="s">
        <v>26</v>
      </c>
      <c r="F987" s="22">
        <v>103</v>
      </c>
      <c r="G987" s="22">
        <v>184</v>
      </c>
      <c r="H987" s="1" t="str">
        <f t="shared" si="14"/>
        <v>Mon</v>
      </c>
      <c r="I987" s="8" t="s">
        <v>219</v>
      </c>
      <c r="J987" s="1">
        <v>65</v>
      </c>
    </row>
    <row r="988" spans="2:10" x14ac:dyDescent="0.2">
      <c r="B988" s="4">
        <v>43306</v>
      </c>
      <c r="C988" t="s">
        <v>1100</v>
      </c>
      <c r="D988" s="1">
        <v>5</v>
      </c>
      <c r="E988" s="9" t="s">
        <v>15</v>
      </c>
      <c r="F988" s="22">
        <v>112</v>
      </c>
      <c r="G988" s="22">
        <v>181</v>
      </c>
      <c r="H988" s="1" t="str">
        <f t="shared" si="14"/>
        <v>Wed</v>
      </c>
      <c r="I988" s="8" t="s">
        <v>219</v>
      </c>
      <c r="J988" s="1">
        <v>80</v>
      </c>
    </row>
    <row r="989" spans="2:10" x14ac:dyDescent="0.2">
      <c r="B989" s="4">
        <v>43308</v>
      </c>
      <c r="C989" t="s">
        <v>1098</v>
      </c>
      <c r="D989" s="1">
        <v>3</v>
      </c>
      <c r="E989" s="9" t="s">
        <v>16</v>
      </c>
      <c r="F989" s="22">
        <v>49</v>
      </c>
      <c r="G989" s="22">
        <v>180</v>
      </c>
      <c r="H989" s="1" t="str">
        <f t="shared" si="14"/>
        <v>Fri</v>
      </c>
      <c r="I989" s="8" t="s">
        <v>219</v>
      </c>
      <c r="J989" s="1">
        <v>60</v>
      </c>
    </row>
    <row r="990" spans="2:10" x14ac:dyDescent="0.2">
      <c r="B990" s="4">
        <v>43309</v>
      </c>
      <c r="C990" t="s">
        <v>1100</v>
      </c>
      <c r="D990" s="1">
        <v>13</v>
      </c>
      <c r="E990" s="9" t="s">
        <v>259</v>
      </c>
      <c r="F990" s="22">
        <v>1334</v>
      </c>
      <c r="G990" s="22">
        <v>183</v>
      </c>
      <c r="H990" s="1" t="str">
        <f t="shared" si="14"/>
        <v>Sat</v>
      </c>
      <c r="I990" s="8" t="s">
        <v>219</v>
      </c>
      <c r="J990" s="1">
        <v>80</v>
      </c>
    </row>
    <row r="991" spans="2:10" x14ac:dyDescent="0.2">
      <c r="B991" s="4">
        <v>43311</v>
      </c>
      <c r="C991" t="s">
        <v>1098</v>
      </c>
      <c r="D991" s="1">
        <v>4</v>
      </c>
      <c r="E991" s="9" t="s">
        <v>55</v>
      </c>
      <c r="F991" s="22">
        <v>135</v>
      </c>
      <c r="G991" s="22">
        <v>185</v>
      </c>
      <c r="H991" s="1" t="str">
        <f t="shared" si="14"/>
        <v>Mon</v>
      </c>
      <c r="I991" s="8" t="s">
        <v>313</v>
      </c>
      <c r="J991" s="1">
        <v>65</v>
      </c>
    </row>
    <row r="992" spans="2:10" x14ac:dyDescent="0.2">
      <c r="B992" s="4">
        <v>43313</v>
      </c>
      <c r="C992" t="s">
        <v>1100</v>
      </c>
      <c r="D992" s="1">
        <v>5</v>
      </c>
      <c r="E992" s="9" t="s">
        <v>26</v>
      </c>
      <c r="F992" s="22">
        <v>82</v>
      </c>
      <c r="G992" s="22">
        <v>186</v>
      </c>
      <c r="H992" s="1" t="str">
        <f t="shared" si="14"/>
        <v>Wed</v>
      </c>
      <c r="I992" s="8" t="s">
        <v>313</v>
      </c>
      <c r="J992" s="1">
        <v>65</v>
      </c>
    </row>
    <row r="993" spans="2:10" x14ac:dyDescent="0.2">
      <c r="B993" s="4">
        <v>43315</v>
      </c>
      <c r="C993" t="s">
        <v>1098</v>
      </c>
      <c r="D993" s="1">
        <v>9</v>
      </c>
      <c r="E993" s="9" t="s">
        <v>55</v>
      </c>
      <c r="F993" s="22">
        <v>110</v>
      </c>
      <c r="G993" s="22">
        <v>188</v>
      </c>
      <c r="H993" s="1" t="str">
        <f t="shared" si="14"/>
        <v>Fri</v>
      </c>
      <c r="I993" s="8" t="s">
        <v>313</v>
      </c>
      <c r="J993" s="1">
        <v>65</v>
      </c>
    </row>
    <row r="994" spans="2:10" x14ac:dyDescent="0.2">
      <c r="B994" s="4">
        <v>43318</v>
      </c>
      <c r="C994" s="8" t="s">
        <v>1103</v>
      </c>
      <c r="D994" s="1">
        <v>7</v>
      </c>
      <c r="E994" s="9" t="s">
        <v>55</v>
      </c>
      <c r="F994" s="22">
        <v>76</v>
      </c>
      <c r="G994" s="22">
        <v>185</v>
      </c>
      <c r="H994" s="1" t="str">
        <f t="shared" si="14"/>
        <v>Mon</v>
      </c>
      <c r="I994" s="8" t="s">
        <v>217</v>
      </c>
      <c r="J994" s="1">
        <v>65</v>
      </c>
    </row>
    <row r="995" spans="2:10" x14ac:dyDescent="0.2">
      <c r="B995" s="4">
        <v>43320</v>
      </c>
      <c r="C995" t="s">
        <v>1100</v>
      </c>
      <c r="D995" s="1">
        <v>7</v>
      </c>
      <c r="E995" s="9" t="s">
        <v>55</v>
      </c>
      <c r="F995" s="22">
        <v>309</v>
      </c>
      <c r="G995" s="22">
        <v>182</v>
      </c>
      <c r="H995" s="1" t="str">
        <f t="shared" si="14"/>
        <v>Wed</v>
      </c>
      <c r="I995" s="8" t="s">
        <v>217</v>
      </c>
      <c r="J995" s="1">
        <v>65</v>
      </c>
    </row>
    <row r="996" spans="2:10" x14ac:dyDescent="0.2">
      <c r="B996" s="4">
        <v>43323</v>
      </c>
      <c r="C996" s="8" t="s">
        <v>1103</v>
      </c>
      <c r="D996" s="1">
        <v>10</v>
      </c>
      <c r="E996" s="9" t="s">
        <v>11</v>
      </c>
      <c r="F996" s="22">
        <v>727</v>
      </c>
      <c r="G996" s="22">
        <v>185</v>
      </c>
      <c r="H996" s="1" t="str">
        <f t="shared" si="14"/>
        <v>Sat</v>
      </c>
      <c r="I996" s="8" t="s">
        <v>217</v>
      </c>
      <c r="J996" s="1">
        <v>75</v>
      </c>
    </row>
    <row r="997" spans="2:10" x14ac:dyDescent="0.2">
      <c r="B997" s="4">
        <v>43325</v>
      </c>
      <c r="C997" t="s">
        <v>1100</v>
      </c>
      <c r="D997" s="1">
        <v>6</v>
      </c>
      <c r="E997" s="9" t="s">
        <v>26</v>
      </c>
      <c r="F997" s="22">
        <v>74</v>
      </c>
      <c r="G997" s="22">
        <v>175</v>
      </c>
      <c r="H997" s="1" t="str">
        <f t="shared" si="14"/>
        <v>Mon</v>
      </c>
      <c r="I997" s="8" t="s">
        <v>217</v>
      </c>
      <c r="J997" s="1">
        <v>65</v>
      </c>
    </row>
    <row r="998" spans="2:10" x14ac:dyDescent="0.2">
      <c r="B998" s="4">
        <v>43327</v>
      </c>
      <c r="C998" s="8" t="s">
        <v>1103</v>
      </c>
      <c r="D998" s="1">
        <v>6</v>
      </c>
      <c r="E998" s="9" t="s">
        <v>1104</v>
      </c>
      <c r="F998" s="22">
        <v>95</v>
      </c>
      <c r="G998" s="22">
        <v>159</v>
      </c>
      <c r="H998" s="1" t="str">
        <f t="shared" si="14"/>
        <v>Wed</v>
      </c>
      <c r="I998" s="8" t="s">
        <v>217</v>
      </c>
      <c r="J998" s="1">
        <v>75</v>
      </c>
    </row>
    <row r="999" spans="2:10" x14ac:dyDescent="0.2">
      <c r="B999" s="4">
        <v>43330</v>
      </c>
      <c r="C999" t="s">
        <v>1100</v>
      </c>
      <c r="D999" s="1">
        <v>13</v>
      </c>
      <c r="E999" s="9" t="s">
        <v>154</v>
      </c>
      <c r="F999" s="22">
        <v>410</v>
      </c>
      <c r="G999" s="22">
        <v>179</v>
      </c>
      <c r="H999" s="1" t="str">
        <f t="shared" si="14"/>
        <v>Sat</v>
      </c>
      <c r="I999" s="8" t="s">
        <v>217</v>
      </c>
      <c r="J999" s="1">
        <v>75</v>
      </c>
    </row>
    <row r="1000" spans="2:10" x14ac:dyDescent="0.2">
      <c r="B1000" s="4">
        <v>43332</v>
      </c>
      <c r="C1000" t="s">
        <v>1100</v>
      </c>
      <c r="D1000" s="1">
        <v>5</v>
      </c>
      <c r="E1000" s="9" t="s">
        <v>62</v>
      </c>
      <c r="F1000" s="22">
        <v>158</v>
      </c>
      <c r="G1000" s="22">
        <v>183</v>
      </c>
      <c r="H1000" s="1" t="str">
        <f t="shared" si="14"/>
        <v>Mon</v>
      </c>
      <c r="I1000" s="8" t="s">
        <v>218</v>
      </c>
      <c r="J1000" s="1">
        <v>60</v>
      </c>
    </row>
    <row r="1001" spans="2:10" x14ac:dyDescent="0.2">
      <c r="B1001" s="4">
        <v>43333</v>
      </c>
      <c r="C1001" s="8" t="s">
        <v>1103</v>
      </c>
      <c r="D1001" s="1">
        <v>6</v>
      </c>
      <c r="E1001" s="9" t="s">
        <v>225</v>
      </c>
      <c r="F1001" s="22">
        <v>246</v>
      </c>
      <c r="G1001" s="22">
        <v>180</v>
      </c>
      <c r="H1001" s="1" t="str">
        <f t="shared" si="14"/>
        <v>Tue</v>
      </c>
      <c r="I1001" s="8" t="s">
        <v>218</v>
      </c>
      <c r="J1001" s="1">
        <v>60</v>
      </c>
    </row>
    <row r="1002" spans="2:10" x14ac:dyDescent="0.2">
      <c r="B1002" s="4">
        <v>43335</v>
      </c>
      <c r="C1002" t="s">
        <v>1100</v>
      </c>
      <c r="D1002" s="1">
        <v>6</v>
      </c>
      <c r="E1002" s="9" t="s">
        <v>108</v>
      </c>
      <c r="F1002" s="22">
        <v>99</v>
      </c>
      <c r="G1002" s="22">
        <v>183</v>
      </c>
      <c r="H1002" s="1" t="str">
        <f t="shared" si="14"/>
        <v>Thu</v>
      </c>
      <c r="I1002" s="8" t="s">
        <v>218</v>
      </c>
      <c r="J1002" s="1">
        <v>65</v>
      </c>
    </row>
    <row r="1003" spans="2:10" x14ac:dyDescent="0.2">
      <c r="B1003" s="4">
        <v>43337</v>
      </c>
      <c r="C1003" s="8" t="s">
        <v>1103</v>
      </c>
      <c r="D1003" s="1">
        <v>13</v>
      </c>
      <c r="E1003" s="9" t="s">
        <v>241</v>
      </c>
      <c r="F1003" s="22">
        <v>287</v>
      </c>
      <c r="G1003" s="22">
        <v>184</v>
      </c>
      <c r="H1003" s="1" t="str">
        <f t="shared" si="14"/>
        <v>Sat</v>
      </c>
      <c r="I1003" s="8" t="s">
        <v>218</v>
      </c>
      <c r="J1003" s="1">
        <v>70</v>
      </c>
    </row>
    <row r="1004" spans="2:10" x14ac:dyDescent="0.2">
      <c r="B1004" s="4">
        <v>43340</v>
      </c>
      <c r="C1004" s="8" t="s">
        <v>1105</v>
      </c>
      <c r="D1004" s="1">
        <v>9</v>
      </c>
      <c r="E1004" s="9" t="s">
        <v>98</v>
      </c>
      <c r="F1004" s="22">
        <v>104</v>
      </c>
      <c r="G1004" s="22">
        <v>183</v>
      </c>
      <c r="H1004" s="1" t="str">
        <f t="shared" si="14"/>
        <v>Tue</v>
      </c>
      <c r="I1004" s="8" t="s">
        <v>218</v>
      </c>
      <c r="J1004" s="1">
        <v>65</v>
      </c>
    </row>
    <row r="1005" spans="2:10" x14ac:dyDescent="0.2">
      <c r="B1005" s="4">
        <v>43342</v>
      </c>
      <c r="C1005" s="8" t="s">
        <v>1103</v>
      </c>
      <c r="D1005" s="1">
        <v>9</v>
      </c>
      <c r="E1005" s="9" t="s">
        <v>45</v>
      </c>
      <c r="F1005" s="22">
        <v>243</v>
      </c>
      <c r="G1005" s="22">
        <v>185</v>
      </c>
      <c r="H1005" s="1" t="str">
        <f t="shared" si="14"/>
        <v>Thu</v>
      </c>
      <c r="I1005" s="8" t="s">
        <v>218</v>
      </c>
      <c r="J1005" s="1">
        <v>65</v>
      </c>
    </row>
    <row r="1006" spans="2:10" x14ac:dyDescent="0.2">
      <c r="B1006" s="4">
        <v>43344</v>
      </c>
      <c r="C1006" t="s">
        <v>1100</v>
      </c>
      <c r="D1006" s="1">
        <v>12</v>
      </c>
      <c r="E1006" s="9" t="s">
        <v>124</v>
      </c>
      <c r="F1006" s="22">
        <v>353</v>
      </c>
      <c r="G1006" s="22">
        <v>183</v>
      </c>
      <c r="H1006" s="1" t="str">
        <f t="shared" si="14"/>
        <v>Sat</v>
      </c>
      <c r="I1006" s="8" t="s">
        <v>218</v>
      </c>
      <c r="J1006" s="1">
        <v>65</v>
      </c>
    </row>
    <row r="1007" spans="2:10" x14ac:dyDescent="0.2">
      <c r="B1007" s="4">
        <v>43347</v>
      </c>
      <c r="C1007" s="8" t="s">
        <v>1103</v>
      </c>
      <c r="D1007" s="1">
        <v>9</v>
      </c>
      <c r="E1007" s="9" t="s">
        <v>86</v>
      </c>
      <c r="F1007" s="22">
        <v>140</v>
      </c>
      <c r="G1007" s="22">
        <v>186</v>
      </c>
      <c r="H1007" s="1" t="str">
        <f t="shared" si="14"/>
        <v>Tue</v>
      </c>
      <c r="I1007" s="8" t="s">
        <v>219</v>
      </c>
      <c r="J1007" s="1">
        <v>65</v>
      </c>
    </row>
    <row r="1008" spans="2:10" x14ac:dyDescent="0.2">
      <c r="B1008" s="4">
        <v>43349</v>
      </c>
      <c r="C1008" t="s">
        <v>1100</v>
      </c>
      <c r="D1008" s="1">
        <v>8</v>
      </c>
      <c r="E1008" s="9" t="s">
        <v>45</v>
      </c>
      <c r="F1008" s="22">
        <v>252</v>
      </c>
      <c r="G1008" s="22">
        <v>186</v>
      </c>
      <c r="H1008" s="1" t="str">
        <f t="shared" si="14"/>
        <v>Thu</v>
      </c>
      <c r="I1008" s="8" t="s">
        <v>219</v>
      </c>
      <c r="J1008" s="1">
        <v>65</v>
      </c>
    </row>
    <row r="1009" spans="2:10" x14ac:dyDescent="0.2">
      <c r="B1009" s="4">
        <v>43351</v>
      </c>
      <c r="C1009" s="8" t="s">
        <v>1103</v>
      </c>
      <c r="D1009" s="1">
        <v>12</v>
      </c>
      <c r="E1009" s="9" t="s">
        <v>115</v>
      </c>
      <c r="F1009" s="22">
        <v>353</v>
      </c>
      <c r="G1009" s="22">
        <v>181</v>
      </c>
      <c r="H1009" s="1" t="str">
        <f t="shared" si="14"/>
        <v>Sat</v>
      </c>
      <c r="I1009" s="8" t="s">
        <v>219</v>
      </c>
      <c r="J1009" s="1">
        <v>60</v>
      </c>
    </row>
    <row r="1010" spans="2:10" x14ac:dyDescent="0.2">
      <c r="B1010" s="4">
        <v>43354</v>
      </c>
      <c r="C1010" t="s">
        <v>1100</v>
      </c>
      <c r="D1010" s="1">
        <v>3</v>
      </c>
      <c r="E1010" s="9" t="s">
        <v>221</v>
      </c>
      <c r="F1010" s="22">
        <v>47</v>
      </c>
      <c r="G1010" s="22">
        <v>181</v>
      </c>
      <c r="H1010" s="1" t="str">
        <f t="shared" si="14"/>
        <v>Tue</v>
      </c>
      <c r="I1010" s="8" t="s">
        <v>313</v>
      </c>
      <c r="J1010" s="1">
        <v>60</v>
      </c>
    </row>
    <row r="1011" spans="2:10" x14ac:dyDescent="0.2">
      <c r="B1011" s="4">
        <v>43356</v>
      </c>
      <c r="C1011" s="8" t="s">
        <v>1103</v>
      </c>
      <c r="D1011" s="1">
        <v>5</v>
      </c>
      <c r="E1011" s="9" t="s">
        <v>128</v>
      </c>
      <c r="F1011" s="22">
        <v>138</v>
      </c>
      <c r="G1011" s="22">
        <v>183</v>
      </c>
      <c r="H1011" s="1" t="str">
        <f t="shared" si="14"/>
        <v>Thu</v>
      </c>
      <c r="I1011" s="8" t="s">
        <v>313</v>
      </c>
      <c r="J1011" s="1">
        <v>60</v>
      </c>
    </row>
    <row r="1012" spans="2:10" x14ac:dyDescent="0.2">
      <c r="B1012" s="4">
        <v>43360</v>
      </c>
      <c r="C1012" t="s">
        <v>1100</v>
      </c>
      <c r="D1012" s="1">
        <v>5</v>
      </c>
      <c r="E1012" s="9" t="s">
        <v>118</v>
      </c>
      <c r="F1012" s="22">
        <v>145</v>
      </c>
      <c r="G1012" s="22">
        <v>180</v>
      </c>
      <c r="H1012" s="1" t="str">
        <f t="shared" si="14"/>
        <v>Mon</v>
      </c>
      <c r="I1012" s="8" t="s">
        <v>1093</v>
      </c>
      <c r="J1012" s="1">
        <v>60</v>
      </c>
    </row>
    <row r="1013" spans="2:10" x14ac:dyDescent="0.2">
      <c r="B1013" s="4">
        <v>43362</v>
      </c>
      <c r="C1013" s="8" t="s">
        <v>1103</v>
      </c>
      <c r="D1013" s="1">
        <v>5</v>
      </c>
      <c r="E1013" s="9" t="s">
        <v>26</v>
      </c>
      <c r="F1013" s="22">
        <v>77</v>
      </c>
      <c r="G1013" s="22">
        <v>151</v>
      </c>
      <c r="H1013" s="1" t="str">
        <f t="shared" si="14"/>
        <v>Wed</v>
      </c>
      <c r="I1013" s="8" t="s">
        <v>1093</v>
      </c>
      <c r="J1013" s="1">
        <v>65</v>
      </c>
    </row>
    <row r="1014" spans="2:10" x14ac:dyDescent="0.2">
      <c r="B1014" s="4">
        <v>43365</v>
      </c>
      <c r="C1014" t="s">
        <v>1100</v>
      </c>
      <c r="D1014" s="1">
        <v>6</v>
      </c>
      <c r="E1014" s="9" t="s">
        <v>155</v>
      </c>
      <c r="F1014" s="22">
        <v>240</v>
      </c>
      <c r="G1014" s="22">
        <v>163</v>
      </c>
      <c r="H1014" s="1" t="str">
        <f t="shared" si="14"/>
        <v>Sat</v>
      </c>
      <c r="I1014" s="8" t="s">
        <v>1093</v>
      </c>
      <c r="J1014" s="1">
        <v>65</v>
      </c>
    </row>
    <row r="1015" spans="2:10" x14ac:dyDescent="0.2">
      <c r="B1015" s="4">
        <v>43367</v>
      </c>
      <c r="C1015" s="8" t="s">
        <v>1103</v>
      </c>
      <c r="D1015" s="1">
        <v>6</v>
      </c>
      <c r="E1015" s="9" t="s">
        <v>25</v>
      </c>
      <c r="F1015" s="22">
        <v>185</v>
      </c>
      <c r="G1015" s="22">
        <v>158</v>
      </c>
      <c r="H1015" s="1" t="str">
        <f t="shared" si="14"/>
        <v>Mon</v>
      </c>
      <c r="I1015" s="8" t="s">
        <v>217</v>
      </c>
      <c r="J1015" s="1">
        <v>65</v>
      </c>
    </row>
    <row r="1016" spans="2:10" x14ac:dyDescent="0.2">
      <c r="B1016" s="4">
        <v>43369</v>
      </c>
      <c r="C1016" t="s">
        <v>1100</v>
      </c>
      <c r="D1016" s="1">
        <v>6</v>
      </c>
      <c r="E1016" s="9" t="s">
        <v>10</v>
      </c>
      <c r="F1016" s="22">
        <v>256</v>
      </c>
      <c r="G1016" s="22">
        <v>135</v>
      </c>
      <c r="H1016" s="1" t="str">
        <f t="shared" si="14"/>
        <v>Wed</v>
      </c>
      <c r="I1016" s="8" t="s">
        <v>217</v>
      </c>
      <c r="J1016" s="1">
        <v>70</v>
      </c>
    </row>
    <row r="1017" spans="2:10" x14ac:dyDescent="0.2">
      <c r="B1017" s="4">
        <v>43371</v>
      </c>
      <c r="C1017" s="8" t="s">
        <v>1103</v>
      </c>
      <c r="D1017" s="1">
        <v>5</v>
      </c>
      <c r="E1017" s="9" t="s">
        <v>46</v>
      </c>
      <c r="F1017" s="22">
        <v>141</v>
      </c>
      <c r="G1017" s="22">
        <v>136</v>
      </c>
      <c r="H1017" s="1" t="str">
        <f t="shared" si="14"/>
        <v>Fri</v>
      </c>
      <c r="I1017" s="8" t="s">
        <v>217</v>
      </c>
      <c r="J1017" s="1">
        <v>65</v>
      </c>
    </row>
    <row r="1018" spans="2:10" x14ac:dyDescent="0.2">
      <c r="B1018" s="4">
        <v>43372</v>
      </c>
      <c r="C1018" t="s">
        <v>1100</v>
      </c>
      <c r="D1018" s="1">
        <v>12</v>
      </c>
      <c r="E1018" s="9" t="s">
        <v>316</v>
      </c>
      <c r="F1018" s="22">
        <v>850</v>
      </c>
      <c r="G1018" s="22">
        <v>170</v>
      </c>
      <c r="H1018" s="1" t="str">
        <f t="shared" si="14"/>
        <v>Sat</v>
      </c>
      <c r="I1018" s="8" t="s">
        <v>217</v>
      </c>
      <c r="J1018" s="1">
        <v>60</v>
      </c>
    </row>
    <row r="1019" spans="2:10" x14ac:dyDescent="0.2">
      <c r="B1019" s="4">
        <v>43374</v>
      </c>
      <c r="C1019" t="s">
        <v>1100</v>
      </c>
      <c r="D1019" s="1">
        <v>5</v>
      </c>
      <c r="E1019" s="9" t="s">
        <v>113</v>
      </c>
      <c r="F1019" s="22">
        <v>147</v>
      </c>
      <c r="G1019" s="22">
        <v>173</v>
      </c>
      <c r="H1019" s="1" t="str">
        <f t="shared" si="14"/>
        <v>Mon</v>
      </c>
      <c r="I1019" s="8" t="s">
        <v>313</v>
      </c>
      <c r="J1019" s="1">
        <v>60</v>
      </c>
    </row>
    <row r="1020" spans="2:10" x14ac:dyDescent="0.2">
      <c r="B1020" s="4">
        <v>43376</v>
      </c>
      <c r="C1020" s="8" t="s">
        <v>1103</v>
      </c>
      <c r="D1020" s="1">
        <v>4</v>
      </c>
      <c r="E1020" s="9" t="s">
        <v>265</v>
      </c>
      <c r="F1020" s="22">
        <v>79</v>
      </c>
      <c r="G1020" s="22">
        <v>179</v>
      </c>
      <c r="H1020" s="1" t="str">
        <f t="shared" si="14"/>
        <v>Wed</v>
      </c>
      <c r="I1020" s="8" t="s">
        <v>313</v>
      </c>
      <c r="J1020" s="1">
        <v>60</v>
      </c>
    </row>
    <row r="1021" spans="2:10" x14ac:dyDescent="0.2">
      <c r="B1021" s="4">
        <v>43379</v>
      </c>
      <c r="C1021" s="8" t="s">
        <v>1103</v>
      </c>
      <c r="D1021" s="1">
        <v>9</v>
      </c>
      <c r="E1021" s="9" t="s">
        <v>14</v>
      </c>
      <c r="F1021" s="22">
        <v>149</v>
      </c>
      <c r="G1021" s="22">
        <v>178</v>
      </c>
      <c r="H1021" s="1" t="str">
        <f t="shared" si="14"/>
        <v>Sat</v>
      </c>
      <c r="I1021" s="8" t="s">
        <v>313</v>
      </c>
      <c r="J1021" s="1">
        <v>60</v>
      </c>
    </row>
    <row r="1022" spans="2:10" x14ac:dyDescent="0.2">
      <c r="B1022" s="4">
        <v>43381</v>
      </c>
      <c r="C1022" s="8" t="s">
        <v>1103</v>
      </c>
      <c r="D1022" s="1">
        <v>5</v>
      </c>
      <c r="E1022" s="9" t="s">
        <v>265</v>
      </c>
      <c r="F1022" s="22">
        <v>150</v>
      </c>
      <c r="G1022" s="22">
        <v>176</v>
      </c>
      <c r="H1022" s="1" t="str">
        <f t="shared" ref="H1022:H1123" si="15">TEXT(B1022,"ddd")</f>
        <v>Mon</v>
      </c>
      <c r="I1022" s="8" t="s">
        <v>1093</v>
      </c>
      <c r="J1022" s="1">
        <v>60</v>
      </c>
    </row>
    <row r="1023" spans="2:10" x14ac:dyDescent="0.2">
      <c r="B1023" s="4">
        <v>43383</v>
      </c>
      <c r="C1023" t="s">
        <v>1100</v>
      </c>
      <c r="D1023" s="1">
        <v>4</v>
      </c>
      <c r="E1023" s="9" t="s">
        <v>57</v>
      </c>
      <c r="F1023" s="22">
        <v>74</v>
      </c>
      <c r="G1023" s="22">
        <v>165</v>
      </c>
      <c r="H1023" s="1" t="str">
        <f t="shared" si="15"/>
        <v>Wed</v>
      </c>
      <c r="I1023" s="8" t="s">
        <v>1093</v>
      </c>
      <c r="J1023" s="1">
        <v>60</v>
      </c>
    </row>
    <row r="1024" spans="2:10" x14ac:dyDescent="0.2">
      <c r="B1024" s="4">
        <v>43385</v>
      </c>
      <c r="C1024" s="8" t="s">
        <v>1103</v>
      </c>
      <c r="D1024" s="1">
        <v>6</v>
      </c>
      <c r="E1024" s="9" t="s">
        <v>97</v>
      </c>
      <c r="F1024" s="22">
        <v>103</v>
      </c>
      <c r="G1024" s="22">
        <v>175</v>
      </c>
      <c r="H1024" s="1" t="str">
        <f t="shared" si="15"/>
        <v>Fri</v>
      </c>
      <c r="I1024" s="8" t="s">
        <v>1093</v>
      </c>
      <c r="J1024" s="1">
        <v>60</v>
      </c>
    </row>
    <row r="1025" spans="2:10" x14ac:dyDescent="0.2">
      <c r="B1025" s="4">
        <v>43389</v>
      </c>
      <c r="C1025" t="s">
        <v>1100</v>
      </c>
      <c r="D1025" s="1">
        <v>5</v>
      </c>
      <c r="E1025" s="9" t="s">
        <v>139</v>
      </c>
      <c r="F1025" s="22">
        <v>136</v>
      </c>
      <c r="G1025" s="22">
        <v>184</v>
      </c>
      <c r="H1025" s="1" t="str">
        <f t="shared" si="15"/>
        <v>Tue</v>
      </c>
      <c r="I1025" s="8" t="s">
        <v>1096</v>
      </c>
      <c r="J1025" s="1">
        <v>60</v>
      </c>
    </row>
    <row r="1026" spans="2:10" x14ac:dyDescent="0.2">
      <c r="B1026" s="4">
        <v>43391</v>
      </c>
      <c r="C1026" s="8" t="s">
        <v>1103</v>
      </c>
      <c r="D1026" s="1">
        <v>6</v>
      </c>
      <c r="E1026" s="9" t="s">
        <v>11</v>
      </c>
      <c r="F1026" s="22">
        <v>19</v>
      </c>
      <c r="G1026" s="22">
        <v>183</v>
      </c>
      <c r="H1026" s="1" t="str">
        <f t="shared" si="15"/>
        <v>Thu</v>
      </c>
      <c r="I1026" s="8" t="s">
        <v>1096</v>
      </c>
      <c r="J1026" s="1">
        <v>60</v>
      </c>
    </row>
    <row r="1027" spans="2:10" x14ac:dyDescent="0.2">
      <c r="B1027" s="4">
        <v>43392</v>
      </c>
      <c r="C1027" s="8" t="s">
        <v>1103</v>
      </c>
      <c r="D1027" s="1">
        <v>6</v>
      </c>
      <c r="E1027" s="9" t="s">
        <v>136</v>
      </c>
      <c r="F1027" s="22">
        <v>54</v>
      </c>
      <c r="G1027" s="22">
        <v>183</v>
      </c>
      <c r="H1027" s="1" t="str">
        <f t="shared" si="15"/>
        <v>Fri</v>
      </c>
      <c r="I1027" s="8" t="s">
        <v>1096</v>
      </c>
      <c r="J1027" s="1">
        <v>60</v>
      </c>
    </row>
    <row r="1028" spans="2:10" x14ac:dyDescent="0.2">
      <c r="B1028" s="4">
        <v>43395</v>
      </c>
      <c r="C1028" t="s">
        <v>1100</v>
      </c>
      <c r="D1028" s="1">
        <v>4</v>
      </c>
      <c r="E1028" s="9" t="s">
        <v>73</v>
      </c>
      <c r="F1028" s="22">
        <v>63</v>
      </c>
      <c r="G1028" s="22">
        <v>187</v>
      </c>
      <c r="H1028" s="1" t="str">
        <f t="shared" si="15"/>
        <v>Mon</v>
      </c>
      <c r="I1028" s="8" t="s">
        <v>217</v>
      </c>
      <c r="J1028" s="1">
        <v>60</v>
      </c>
    </row>
    <row r="1029" spans="2:10" x14ac:dyDescent="0.2">
      <c r="B1029" s="4">
        <v>43397</v>
      </c>
      <c r="C1029" s="8" t="s">
        <v>1103</v>
      </c>
      <c r="D1029" s="1">
        <v>6</v>
      </c>
      <c r="E1029" s="9" t="s">
        <v>41</v>
      </c>
      <c r="F1029" s="22">
        <v>99</v>
      </c>
      <c r="G1029" s="22">
        <v>185</v>
      </c>
      <c r="H1029" s="1" t="str">
        <f t="shared" si="15"/>
        <v>Wed</v>
      </c>
      <c r="I1029" s="8" t="s">
        <v>217</v>
      </c>
      <c r="J1029" s="1">
        <v>65</v>
      </c>
    </row>
    <row r="1030" spans="2:10" x14ac:dyDescent="0.2">
      <c r="B1030" s="4">
        <v>43399</v>
      </c>
      <c r="C1030" t="s">
        <v>1100</v>
      </c>
      <c r="D1030" s="1">
        <v>6</v>
      </c>
      <c r="E1030" s="9" t="s">
        <v>55</v>
      </c>
      <c r="F1030" s="22">
        <v>200</v>
      </c>
      <c r="G1030" s="22">
        <v>180</v>
      </c>
      <c r="H1030" s="1" t="str">
        <f t="shared" si="15"/>
        <v>Fri</v>
      </c>
      <c r="I1030" s="8" t="s">
        <v>217</v>
      </c>
      <c r="J1030" s="1">
        <v>60</v>
      </c>
    </row>
    <row r="1031" spans="2:10" x14ac:dyDescent="0.2">
      <c r="B1031" s="4">
        <v>43400</v>
      </c>
      <c r="C1031" s="8" t="s">
        <v>1103</v>
      </c>
      <c r="D1031" s="1">
        <v>13</v>
      </c>
      <c r="E1031" s="9" t="s">
        <v>277</v>
      </c>
      <c r="F1031" s="22">
        <v>185</v>
      </c>
      <c r="G1031" s="22">
        <v>184</v>
      </c>
      <c r="H1031" s="1" t="str">
        <f t="shared" si="15"/>
        <v>Sat</v>
      </c>
      <c r="I1031" s="8" t="s">
        <v>217</v>
      </c>
      <c r="J1031" s="1">
        <v>60</v>
      </c>
    </row>
    <row r="1032" spans="2:10" x14ac:dyDescent="0.2">
      <c r="B1032" s="4">
        <v>43402</v>
      </c>
      <c r="C1032" s="8" t="s">
        <v>1103</v>
      </c>
      <c r="D1032" s="1">
        <v>6</v>
      </c>
      <c r="E1032" s="9" t="s">
        <v>73</v>
      </c>
      <c r="F1032" s="22">
        <v>68</v>
      </c>
      <c r="G1032" s="22">
        <v>186</v>
      </c>
      <c r="H1032" s="1" t="str">
        <f t="shared" si="15"/>
        <v>Mon</v>
      </c>
      <c r="I1032" s="8" t="s">
        <v>218</v>
      </c>
      <c r="J1032" s="1">
        <v>60</v>
      </c>
    </row>
    <row r="1033" spans="2:10" x14ac:dyDescent="0.2">
      <c r="B1033" s="4">
        <v>43404</v>
      </c>
      <c r="C1033" t="s">
        <v>1100</v>
      </c>
      <c r="D1033" s="1">
        <v>4</v>
      </c>
      <c r="E1033" s="9" t="s">
        <v>265</v>
      </c>
      <c r="F1033" s="22">
        <v>209</v>
      </c>
      <c r="G1033" s="22">
        <v>179</v>
      </c>
      <c r="H1033" s="1" t="str">
        <f t="shared" si="15"/>
        <v>Wed</v>
      </c>
      <c r="I1033" s="8" t="s">
        <v>218</v>
      </c>
      <c r="J1033" s="1">
        <v>60</v>
      </c>
    </row>
    <row r="1034" spans="2:10" x14ac:dyDescent="0.2">
      <c r="B1034" s="4">
        <v>43406</v>
      </c>
      <c r="C1034" s="8" t="s">
        <v>1103</v>
      </c>
      <c r="D1034" s="1">
        <v>6</v>
      </c>
      <c r="E1034" s="9" t="s">
        <v>26</v>
      </c>
      <c r="F1034" s="22">
        <v>109</v>
      </c>
      <c r="G1034" s="22">
        <v>189</v>
      </c>
      <c r="H1034" s="1" t="str">
        <f t="shared" si="15"/>
        <v>Fri</v>
      </c>
      <c r="I1034" s="8" t="s">
        <v>218</v>
      </c>
      <c r="J1034" s="1">
        <v>60</v>
      </c>
    </row>
    <row r="1035" spans="2:10" x14ac:dyDescent="0.2">
      <c r="B1035" s="4">
        <v>43407</v>
      </c>
      <c r="C1035" t="s">
        <v>1100</v>
      </c>
      <c r="D1035" s="1">
        <v>12</v>
      </c>
      <c r="E1035" s="9" t="s">
        <v>154</v>
      </c>
      <c r="F1035" s="22">
        <v>266</v>
      </c>
      <c r="G1035" s="22">
        <v>185</v>
      </c>
      <c r="H1035" s="1" t="str">
        <f t="shared" si="15"/>
        <v>Sat</v>
      </c>
      <c r="I1035" s="8" t="s">
        <v>218</v>
      </c>
      <c r="J1035" s="1">
        <v>60</v>
      </c>
    </row>
    <row r="1036" spans="2:10" x14ac:dyDescent="0.2">
      <c r="B1036" s="4">
        <v>43409</v>
      </c>
      <c r="C1036" s="8" t="s">
        <v>1105</v>
      </c>
      <c r="D1036" s="1">
        <v>6</v>
      </c>
      <c r="E1036" s="9" t="s">
        <v>67</v>
      </c>
      <c r="F1036" s="22">
        <v>240</v>
      </c>
      <c r="G1036" s="22">
        <v>185</v>
      </c>
      <c r="H1036" s="1" t="str">
        <f t="shared" si="15"/>
        <v>Mon</v>
      </c>
      <c r="I1036" s="8" t="s">
        <v>313</v>
      </c>
      <c r="J1036" s="1">
        <v>60</v>
      </c>
    </row>
    <row r="1037" spans="2:10" x14ac:dyDescent="0.2">
      <c r="B1037" s="4">
        <v>43411</v>
      </c>
      <c r="C1037" s="8" t="s">
        <v>1103</v>
      </c>
      <c r="D1037" s="1">
        <v>5</v>
      </c>
      <c r="E1037" s="9" t="s">
        <v>67</v>
      </c>
      <c r="F1037" s="22">
        <v>144</v>
      </c>
      <c r="G1037" s="22">
        <v>180</v>
      </c>
      <c r="H1037" s="1" t="str">
        <f t="shared" si="15"/>
        <v>Wed</v>
      </c>
      <c r="I1037" s="8" t="s">
        <v>313</v>
      </c>
      <c r="J1037" s="1">
        <v>60</v>
      </c>
    </row>
    <row r="1038" spans="2:10" x14ac:dyDescent="0.2">
      <c r="B1038" s="4">
        <v>43413</v>
      </c>
      <c r="C1038" s="8" t="s">
        <v>1105</v>
      </c>
      <c r="D1038" s="1">
        <v>5</v>
      </c>
      <c r="E1038" s="9" t="s">
        <v>150</v>
      </c>
      <c r="F1038" s="22">
        <v>144</v>
      </c>
      <c r="G1038" s="22">
        <v>185</v>
      </c>
      <c r="H1038" s="1" t="str">
        <f t="shared" si="15"/>
        <v>Fri</v>
      </c>
      <c r="I1038" s="8" t="s">
        <v>313</v>
      </c>
      <c r="J1038" s="1">
        <v>60</v>
      </c>
    </row>
    <row r="1039" spans="2:10" x14ac:dyDescent="0.2">
      <c r="B1039" s="4">
        <v>43414</v>
      </c>
      <c r="C1039" s="8" t="s">
        <v>1103</v>
      </c>
      <c r="D1039" s="1">
        <v>10</v>
      </c>
      <c r="E1039" s="9" t="s">
        <v>28</v>
      </c>
      <c r="F1039" s="22">
        <v>243</v>
      </c>
      <c r="G1039" s="22">
        <v>186</v>
      </c>
      <c r="H1039" s="1" t="str">
        <f t="shared" si="15"/>
        <v>Sat</v>
      </c>
      <c r="I1039" s="8" t="s">
        <v>313</v>
      </c>
      <c r="J1039" s="1">
        <v>60</v>
      </c>
    </row>
    <row r="1040" spans="2:10" x14ac:dyDescent="0.2">
      <c r="B1040" s="4">
        <v>43416</v>
      </c>
      <c r="C1040" s="8" t="s">
        <v>1103</v>
      </c>
      <c r="D1040" s="1">
        <v>5</v>
      </c>
      <c r="E1040" s="9" t="s">
        <v>28</v>
      </c>
      <c r="F1040" s="22">
        <v>139</v>
      </c>
      <c r="G1040" s="22">
        <v>187</v>
      </c>
      <c r="H1040" s="1" t="str">
        <f t="shared" si="15"/>
        <v>Mon</v>
      </c>
      <c r="I1040" s="8" t="s">
        <v>217</v>
      </c>
      <c r="J1040" s="1">
        <v>60</v>
      </c>
    </row>
    <row r="1041" spans="2:10" x14ac:dyDescent="0.2">
      <c r="B1041" s="4">
        <v>43418</v>
      </c>
      <c r="C1041" s="8" t="s">
        <v>1105</v>
      </c>
      <c r="D1041" s="1">
        <v>6</v>
      </c>
      <c r="E1041" s="9" t="s">
        <v>24</v>
      </c>
      <c r="F1041" s="22">
        <v>266</v>
      </c>
      <c r="G1041" s="22">
        <v>174</v>
      </c>
      <c r="H1041" s="1" t="str">
        <f t="shared" si="15"/>
        <v>Wed</v>
      </c>
      <c r="I1041" s="8" t="s">
        <v>217</v>
      </c>
      <c r="J1041" s="1">
        <v>70</v>
      </c>
    </row>
    <row r="1042" spans="2:10" x14ac:dyDescent="0.2">
      <c r="B1042" s="4">
        <v>43420</v>
      </c>
      <c r="C1042" s="8" t="s">
        <v>1103</v>
      </c>
      <c r="D1042" s="1">
        <v>5</v>
      </c>
      <c r="E1042" s="9" t="s">
        <v>28</v>
      </c>
      <c r="F1042" s="22">
        <v>215</v>
      </c>
      <c r="G1042" s="22">
        <v>183</v>
      </c>
      <c r="H1042" s="1" t="str">
        <f t="shared" si="15"/>
        <v>Fri</v>
      </c>
      <c r="I1042" s="8" t="s">
        <v>217</v>
      </c>
      <c r="J1042" s="1">
        <v>65</v>
      </c>
    </row>
    <row r="1043" spans="2:10" x14ac:dyDescent="0.2">
      <c r="B1043" s="4">
        <v>43421</v>
      </c>
      <c r="C1043" s="8" t="s">
        <v>1105</v>
      </c>
      <c r="D1043" s="1">
        <v>13</v>
      </c>
      <c r="E1043" s="9" t="s">
        <v>258</v>
      </c>
      <c r="F1043" s="22">
        <v>812</v>
      </c>
      <c r="G1043" s="22">
        <v>184</v>
      </c>
      <c r="H1043" s="1" t="str">
        <f t="shared" si="15"/>
        <v>Sat</v>
      </c>
      <c r="I1043" s="8" t="s">
        <v>217</v>
      </c>
      <c r="J1043" s="1">
        <v>75</v>
      </c>
    </row>
    <row r="1044" spans="2:10" x14ac:dyDescent="0.2">
      <c r="B1044" s="4">
        <v>43423</v>
      </c>
      <c r="C1044" s="8" t="s">
        <v>1103</v>
      </c>
      <c r="D1044" s="1">
        <v>3</v>
      </c>
      <c r="E1044" s="9" t="s">
        <v>55</v>
      </c>
      <c r="F1044" s="22">
        <v>40</v>
      </c>
      <c r="G1044" s="22">
        <v>180</v>
      </c>
      <c r="H1044" s="1" t="str">
        <f t="shared" si="15"/>
        <v>Mon</v>
      </c>
      <c r="I1044" s="8" t="s">
        <v>313</v>
      </c>
      <c r="J1044" s="1">
        <v>65</v>
      </c>
    </row>
    <row r="1045" spans="2:10" x14ac:dyDescent="0.2">
      <c r="B1045" s="4">
        <v>43425</v>
      </c>
      <c r="C1045" s="8" t="s">
        <v>1105</v>
      </c>
      <c r="D1045" s="1">
        <v>5</v>
      </c>
      <c r="E1045" s="9" t="s">
        <v>19</v>
      </c>
      <c r="F1045" s="22">
        <v>145</v>
      </c>
      <c r="G1045" s="22">
        <v>187</v>
      </c>
      <c r="H1045" s="1" t="str">
        <f t="shared" si="15"/>
        <v>Wed</v>
      </c>
      <c r="I1045" s="8" t="s">
        <v>313</v>
      </c>
      <c r="J1045" s="1">
        <v>65</v>
      </c>
    </row>
    <row r="1046" spans="2:10" x14ac:dyDescent="0.2">
      <c r="B1046" s="4">
        <v>43430</v>
      </c>
      <c r="C1046" s="8" t="s">
        <v>1103</v>
      </c>
      <c r="D1046" s="1">
        <v>7</v>
      </c>
      <c r="E1046" s="9" t="s">
        <v>55</v>
      </c>
      <c r="F1046" s="22">
        <v>69</v>
      </c>
      <c r="G1046" s="22">
        <v>187</v>
      </c>
      <c r="H1046" s="1" t="str">
        <f t="shared" si="15"/>
        <v>Mon</v>
      </c>
      <c r="I1046" s="8" t="s">
        <v>217</v>
      </c>
      <c r="J1046" s="1">
        <v>65</v>
      </c>
    </row>
    <row r="1047" spans="2:10" x14ac:dyDescent="0.2">
      <c r="B1047" s="4">
        <v>43432</v>
      </c>
      <c r="C1047" s="8" t="s">
        <v>1105</v>
      </c>
      <c r="D1047" s="1">
        <v>7</v>
      </c>
      <c r="E1047" s="9" t="s">
        <v>19</v>
      </c>
      <c r="F1047" s="22">
        <v>336</v>
      </c>
      <c r="G1047" s="22">
        <v>181</v>
      </c>
      <c r="H1047" s="1" t="str">
        <f t="shared" si="15"/>
        <v>Wed</v>
      </c>
      <c r="I1047" s="8" t="s">
        <v>217</v>
      </c>
      <c r="J1047" s="1">
        <v>75</v>
      </c>
    </row>
    <row r="1048" spans="2:10" x14ac:dyDescent="0.2">
      <c r="B1048" s="4">
        <v>43435</v>
      </c>
      <c r="C1048" s="8" t="s">
        <v>1103</v>
      </c>
      <c r="D1048" s="1">
        <v>13</v>
      </c>
      <c r="E1048" s="9" t="s">
        <v>45</v>
      </c>
      <c r="F1048" s="22">
        <v>282</v>
      </c>
      <c r="G1048" s="22">
        <v>183</v>
      </c>
      <c r="H1048" s="1" t="str">
        <f t="shared" si="15"/>
        <v>Sat</v>
      </c>
      <c r="I1048" s="8" t="s">
        <v>217</v>
      </c>
      <c r="J1048" s="1">
        <v>60</v>
      </c>
    </row>
    <row r="1049" spans="2:10" x14ac:dyDescent="0.2">
      <c r="B1049" s="4">
        <v>43437</v>
      </c>
      <c r="C1049" s="8" t="s">
        <v>1103</v>
      </c>
      <c r="D1049" s="1">
        <v>7</v>
      </c>
      <c r="E1049" s="9" t="s">
        <v>47</v>
      </c>
      <c r="F1049" s="22">
        <v>172</v>
      </c>
      <c r="G1049" s="22">
        <v>185</v>
      </c>
      <c r="H1049" s="1" t="str">
        <f t="shared" si="15"/>
        <v>Mon</v>
      </c>
      <c r="I1049" s="8" t="s">
        <v>218</v>
      </c>
      <c r="J1049" s="1">
        <v>65</v>
      </c>
    </row>
    <row r="1050" spans="2:10" x14ac:dyDescent="0.2">
      <c r="B1050" s="4">
        <v>43439</v>
      </c>
      <c r="C1050" s="8" t="s">
        <v>1105</v>
      </c>
      <c r="D1050" s="1">
        <v>5</v>
      </c>
      <c r="E1050" s="9" t="s">
        <v>265</v>
      </c>
      <c r="F1050" s="22">
        <v>237</v>
      </c>
      <c r="G1050" s="22">
        <v>183</v>
      </c>
      <c r="H1050" s="1" t="str">
        <f t="shared" si="15"/>
        <v>Wed</v>
      </c>
      <c r="I1050" s="8" t="s">
        <v>218</v>
      </c>
      <c r="J1050" s="1">
        <v>60</v>
      </c>
    </row>
    <row r="1051" spans="2:10" x14ac:dyDescent="0.2">
      <c r="B1051" s="4">
        <v>43441</v>
      </c>
      <c r="C1051" s="8" t="s">
        <v>1103</v>
      </c>
      <c r="D1051" s="1">
        <v>5</v>
      </c>
      <c r="E1051" s="9" t="s">
        <v>98</v>
      </c>
      <c r="F1051" s="22">
        <v>148</v>
      </c>
      <c r="G1051" s="22">
        <v>184</v>
      </c>
      <c r="H1051" s="1" t="str">
        <f t="shared" si="15"/>
        <v>Fri</v>
      </c>
      <c r="I1051" s="8" t="s">
        <v>218</v>
      </c>
      <c r="J1051" s="1">
        <v>60</v>
      </c>
    </row>
    <row r="1052" spans="2:10" x14ac:dyDescent="0.2">
      <c r="B1052" s="4">
        <v>43442</v>
      </c>
      <c r="C1052" s="8" t="s">
        <v>1105</v>
      </c>
      <c r="D1052" s="1">
        <v>13</v>
      </c>
      <c r="E1052" s="9" t="s">
        <v>1107</v>
      </c>
      <c r="F1052" s="22">
        <v>905</v>
      </c>
      <c r="G1052" s="22">
        <v>184</v>
      </c>
      <c r="H1052" s="1" t="str">
        <f t="shared" si="15"/>
        <v>Sat</v>
      </c>
      <c r="I1052" s="8" t="s">
        <v>218</v>
      </c>
      <c r="J1052" s="1">
        <v>60</v>
      </c>
    </row>
    <row r="1053" spans="2:10" x14ac:dyDescent="0.2">
      <c r="B1053" s="4">
        <v>43446</v>
      </c>
      <c r="C1053" s="8" t="s">
        <v>1103</v>
      </c>
      <c r="D1053" s="1">
        <v>4</v>
      </c>
      <c r="E1053" s="9" t="s">
        <v>150</v>
      </c>
      <c r="F1053" s="22">
        <v>74</v>
      </c>
      <c r="G1053" s="22">
        <v>186</v>
      </c>
      <c r="H1053" s="1" t="str">
        <f t="shared" si="15"/>
        <v>Wed</v>
      </c>
      <c r="I1053" s="8" t="s">
        <v>313</v>
      </c>
      <c r="J1053" s="1">
        <v>60</v>
      </c>
    </row>
    <row r="1054" spans="2:10" x14ac:dyDescent="0.2">
      <c r="B1054" s="4">
        <v>43448</v>
      </c>
      <c r="C1054" s="8" t="s">
        <v>1105</v>
      </c>
      <c r="D1054" s="1">
        <v>5</v>
      </c>
      <c r="E1054" s="9" t="s">
        <v>57</v>
      </c>
      <c r="F1054" s="22">
        <v>223</v>
      </c>
      <c r="G1054" s="22">
        <v>185</v>
      </c>
      <c r="H1054" s="1" t="str">
        <f t="shared" si="15"/>
        <v>Fri</v>
      </c>
      <c r="I1054" s="8" t="s">
        <v>313</v>
      </c>
      <c r="J1054" s="1">
        <v>60</v>
      </c>
    </row>
    <row r="1055" spans="2:10" x14ac:dyDescent="0.2">
      <c r="B1055" s="4">
        <v>43449</v>
      </c>
      <c r="C1055" s="8" t="s">
        <v>1103</v>
      </c>
      <c r="D1055" s="1">
        <v>7</v>
      </c>
      <c r="E1055" s="9" t="s">
        <v>97</v>
      </c>
      <c r="F1055" s="22">
        <v>247</v>
      </c>
      <c r="G1055" s="22">
        <v>184</v>
      </c>
      <c r="H1055" s="1" t="str">
        <f t="shared" si="15"/>
        <v>Sat</v>
      </c>
      <c r="I1055" s="8" t="s">
        <v>313</v>
      </c>
      <c r="J1055" s="1">
        <v>60</v>
      </c>
    </row>
    <row r="1056" spans="2:10" x14ac:dyDescent="0.2">
      <c r="B1056" s="4">
        <v>43451</v>
      </c>
      <c r="C1056" s="8" t="s">
        <v>1103</v>
      </c>
      <c r="D1056" s="1">
        <v>4</v>
      </c>
      <c r="E1056" s="9" t="s">
        <v>129</v>
      </c>
      <c r="F1056" s="22">
        <v>65</v>
      </c>
      <c r="G1056" s="22">
        <v>186</v>
      </c>
      <c r="H1056" s="1" t="str">
        <f t="shared" si="15"/>
        <v>Mon</v>
      </c>
      <c r="I1056" s="8" t="s">
        <v>217</v>
      </c>
      <c r="J1056" s="1">
        <v>60</v>
      </c>
    </row>
    <row r="1057" spans="2:10" x14ac:dyDescent="0.2">
      <c r="B1057" s="4">
        <v>43453</v>
      </c>
      <c r="C1057" s="8" t="s">
        <v>1105</v>
      </c>
      <c r="D1057" s="1">
        <v>4</v>
      </c>
      <c r="E1057" s="9" t="s">
        <v>108</v>
      </c>
      <c r="F1057" s="22">
        <v>48</v>
      </c>
      <c r="G1057" s="22">
        <v>188</v>
      </c>
      <c r="H1057" s="1" t="str">
        <f t="shared" si="15"/>
        <v>Wed</v>
      </c>
      <c r="I1057" s="8" t="s">
        <v>217</v>
      </c>
      <c r="J1057" s="1">
        <v>60</v>
      </c>
    </row>
    <row r="1058" spans="2:10" x14ac:dyDescent="0.2">
      <c r="B1058" s="4">
        <v>43455</v>
      </c>
      <c r="C1058" s="8" t="s">
        <v>1103</v>
      </c>
      <c r="D1058" s="1">
        <v>5</v>
      </c>
      <c r="E1058" s="9" t="s">
        <v>117</v>
      </c>
      <c r="F1058" s="22">
        <v>130</v>
      </c>
      <c r="G1058" s="22">
        <v>190</v>
      </c>
      <c r="H1058" s="1" t="str">
        <f t="shared" si="15"/>
        <v>Fri</v>
      </c>
      <c r="I1058" s="8" t="s">
        <v>217</v>
      </c>
      <c r="J1058" s="1">
        <v>60</v>
      </c>
    </row>
    <row r="1059" spans="2:10" x14ac:dyDescent="0.2">
      <c r="B1059" s="4">
        <v>43456</v>
      </c>
      <c r="C1059" s="8" t="s">
        <v>1105</v>
      </c>
      <c r="D1059" s="1">
        <v>10</v>
      </c>
      <c r="E1059" s="9" t="s">
        <v>118</v>
      </c>
      <c r="F1059" s="22">
        <v>742</v>
      </c>
      <c r="G1059" s="22">
        <v>185</v>
      </c>
      <c r="H1059" s="1" t="str">
        <f t="shared" si="15"/>
        <v>Sat</v>
      </c>
      <c r="I1059" s="8" t="s">
        <v>217</v>
      </c>
      <c r="J1059" s="1">
        <v>60</v>
      </c>
    </row>
    <row r="1060" spans="2:10" x14ac:dyDescent="0.2">
      <c r="B1060" s="4">
        <v>43458</v>
      </c>
      <c r="C1060" s="8" t="s">
        <v>1105</v>
      </c>
      <c r="D1060" s="1">
        <v>10</v>
      </c>
      <c r="E1060" s="9" t="s">
        <v>136</v>
      </c>
      <c r="F1060" s="22">
        <v>331</v>
      </c>
      <c r="G1060" s="22">
        <v>186</v>
      </c>
      <c r="H1060" s="1" t="str">
        <f t="shared" si="15"/>
        <v>Mon</v>
      </c>
      <c r="I1060" s="8" t="s">
        <v>313</v>
      </c>
      <c r="J1060" s="1">
        <v>60</v>
      </c>
    </row>
    <row r="1061" spans="2:10" x14ac:dyDescent="0.2">
      <c r="B1061" s="4">
        <v>43460</v>
      </c>
      <c r="C1061" s="8" t="s">
        <v>1103</v>
      </c>
      <c r="D1061" s="1">
        <v>4</v>
      </c>
      <c r="E1061" s="9" t="s">
        <v>277</v>
      </c>
      <c r="F1061" s="22">
        <v>68</v>
      </c>
      <c r="G1061" s="22">
        <v>188</v>
      </c>
      <c r="H1061" s="1" t="str">
        <f t="shared" si="15"/>
        <v>Wed</v>
      </c>
      <c r="I1061" s="8" t="s">
        <v>313</v>
      </c>
      <c r="J1061" s="1">
        <v>60</v>
      </c>
    </row>
    <row r="1062" spans="2:10" x14ac:dyDescent="0.2">
      <c r="B1062" s="4">
        <v>43466</v>
      </c>
      <c r="C1062" s="8" t="s">
        <v>1105</v>
      </c>
      <c r="D1062" s="1">
        <v>1.5</v>
      </c>
      <c r="E1062" s="9" t="s">
        <v>1108</v>
      </c>
      <c r="F1062" s="22">
        <v>19</v>
      </c>
      <c r="G1062" s="22">
        <v>175</v>
      </c>
      <c r="H1062" s="1" t="str">
        <f t="shared" si="15"/>
        <v>Tue</v>
      </c>
      <c r="I1062" s="8" t="s">
        <v>1093</v>
      </c>
      <c r="J1062" s="1">
        <v>60</v>
      </c>
    </row>
    <row r="1063" spans="2:10" x14ac:dyDescent="0.2">
      <c r="B1063" s="4">
        <v>43467</v>
      </c>
      <c r="C1063" s="8" t="s">
        <v>1105</v>
      </c>
      <c r="D1063" s="1">
        <v>5</v>
      </c>
      <c r="E1063" s="9" t="s">
        <v>98</v>
      </c>
      <c r="F1063" s="22">
        <v>149</v>
      </c>
      <c r="G1063" s="22">
        <v>185</v>
      </c>
      <c r="H1063" s="1" t="str">
        <f t="shared" si="15"/>
        <v>Wed</v>
      </c>
      <c r="I1063" s="8" t="s">
        <v>1093</v>
      </c>
      <c r="J1063" s="1">
        <v>60</v>
      </c>
    </row>
    <row r="1064" spans="2:10" x14ac:dyDescent="0.2">
      <c r="B1064" s="4">
        <v>43470</v>
      </c>
      <c r="C1064" s="8" t="s">
        <v>1103</v>
      </c>
      <c r="D1064" s="1">
        <v>10</v>
      </c>
      <c r="E1064" s="9" t="s">
        <v>258</v>
      </c>
      <c r="F1064" s="22">
        <v>292</v>
      </c>
      <c r="G1064" s="22">
        <v>187</v>
      </c>
      <c r="H1064" s="1" t="str">
        <f t="shared" si="15"/>
        <v>Sat</v>
      </c>
      <c r="I1064" s="8" t="s">
        <v>1093</v>
      </c>
      <c r="J1064" s="1">
        <v>60</v>
      </c>
    </row>
    <row r="1065" spans="2:10" x14ac:dyDescent="0.2">
      <c r="B1065" s="4">
        <v>43472</v>
      </c>
      <c r="C1065" s="8" t="s">
        <v>1109</v>
      </c>
      <c r="D1065" s="1">
        <v>7</v>
      </c>
      <c r="E1065" s="9" t="s">
        <v>129</v>
      </c>
      <c r="F1065" s="22">
        <v>62</v>
      </c>
      <c r="G1065" s="22">
        <v>186</v>
      </c>
      <c r="H1065" s="1" t="str">
        <f t="shared" si="15"/>
        <v>Mon</v>
      </c>
      <c r="I1065" s="8" t="s">
        <v>217</v>
      </c>
      <c r="J1065" s="1">
        <v>60</v>
      </c>
    </row>
    <row r="1066" spans="2:10" x14ac:dyDescent="0.2">
      <c r="B1066" s="4">
        <v>43474</v>
      </c>
      <c r="C1066" s="8" t="s">
        <v>1105</v>
      </c>
      <c r="D1066" s="1">
        <v>7</v>
      </c>
      <c r="E1066" s="9" t="s">
        <v>76</v>
      </c>
      <c r="F1066" s="22">
        <v>354</v>
      </c>
      <c r="G1066" s="22">
        <v>179</v>
      </c>
      <c r="H1066" s="1" t="str">
        <f t="shared" si="15"/>
        <v>Wed</v>
      </c>
      <c r="I1066" s="8" t="s">
        <v>217</v>
      </c>
      <c r="J1066" s="1">
        <v>70</v>
      </c>
    </row>
    <row r="1067" spans="2:10" x14ac:dyDescent="0.2">
      <c r="B1067" s="4">
        <v>43476</v>
      </c>
      <c r="C1067" s="8" t="s">
        <v>1109</v>
      </c>
      <c r="D1067" s="1">
        <v>5</v>
      </c>
      <c r="E1067" s="9" t="s">
        <v>121</v>
      </c>
      <c r="F1067" s="22">
        <v>152</v>
      </c>
      <c r="G1067" s="22">
        <v>188</v>
      </c>
      <c r="H1067" s="1" t="str">
        <f t="shared" si="15"/>
        <v>Fri</v>
      </c>
      <c r="I1067" s="8" t="s">
        <v>217</v>
      </c>
      <c r="J1067" s="1">
        <v>60</v>
      </c>
    </row>
    <row r="1068" spans="2:10" x14ac:dyDescent="0.2">
      <c r="B1068" s="4">
        <v>43477</v>
      </c>
      <c r="C1068" s="8" t="s">
        <v>1105</v>
      </c>
      <c r="D1068" s="1">
        <v>10</v>
      </c>
      <c r="E1068" s="9" t="s">
        <v>11</v>
      </c>
      <c r="F1068" s="22">
        <v>207</v>
      </c>
      <c r="G1068" s="22">
        <v>187</v>
      </c>
      <c r="H1068" s="1" t="str">
        <f t="shared" si="15"/>
        <v>Sat</v>
      </c>
      <c r="I1068" s="8" t="s">
        <v>217</v>
      </c>
      <c r="J1068" s="1">
        <v>60</v>
      </c>
    </row>
    <row r="1069" spans="2:10" x14ac:dyDescent="0.2">
      <c r="B1069" s="4">
        <v>43481</v>
      </c>
      <c r="C1069" s="8" t="s">
        <v>1109</v>
      </c>
      <c r="D1069" s="1">
        <v>4</v>
      </c>
      <c r="E1069" s="9" t="s">
        <v>86</v>
      </c>
      <c r="F1069" s="22">
        <v>66</v>
      </c>
      <c r="G1069" s="22">
        <v>187</v>
      </c>
      <c r="H1069" s="1" t="str">
        <f t="shared" si="15"/>
        <v>Wed</v>
      </c>
      <c r="I1069" s="8" t="s">
        <v>313</v>
      </c>
      <c r="J1069" s="1">
        <v>60</v>
      </c>
    </row>
    <row r="1070" spans="2:10" x14ac:dyDescent="0.2">
      <c r="B1070" s="4">
        <v>43483</v>
      </c>
      <c r="C1070" s="8" t="s">
        <v>1105</v>
      </c>
      <c r="D1070" s="1">
        <v>6</v>
      </c>
      <c r="E1070" s="9" t="s">
        <v>61</v>
      </c>
      <c r="F1070" s="22">
        <v>61</v>
      </c>
      <c r="G1070" s="22">
        <v>187</v>
      </c>
      <c r="H1070" s="1" t="str">
        <f t="shared" si="15"/>
        <v>Fri</v>
      </c>
      <c r="I1070" s="8" t="s">
        <v>313</v>
      </c>
      <c r="J1070" s="1">
        <v>60</v>
      </c>
    </row>
    <row r="1071" spans="2:10" x14ac:dyDescent="0.2">
      <c r="B1071" s="4">
        <v>43486</v>
      </c>
      <c r="C1071" s="8" t="s">
        <v>1109</v>
      </c>
      <c r="D1071" s="1">
        <v>6</v>
      </c>
      <c r="E1071" s="9" t="s">
        <v>61</v>
      </c>
      <c r="F1071" s="22">
        <v>169</v>
      </c>
      <c r="G1071" s="22">
        <v>186</v>
      </c>
      <c r="H1071" s="1" t="str">
        <f t="shared" si="15"/>
        <v>Mon</v>
      </c>
      <c r="I1071" s="8" t="s">
        <v>217</v>
      </c>
      <c r="J1071" s="1">
        <v>60</v>
      </c>
    </row>
    <row r="1072" spans="2:10" x14ac:dyDescent="0.2">
      <c r="B1072" s="4">
        <v>43488</v>
      </c>
      <c r="C1072" s="8" t="s">
        <v>1105</v>
      </c>
      <c r="D1072" s="1">
        <v>7</v>
      </c>
      <c r="E1072" s="9" t="s">
        <v>92</v>
      </c>
      <c r="F1072" s="22">
        <v>208</v>
      </c>
      <c r="G1072" s="22">
        <v>188</v>
      </c>
      <c r="H1072" s="1" t="str">
        <f t="shared" si="15"/>
        <v>Wed</v>
      </c>
      <c r="I1072" s="8" t="s">
        <v>217</v>
      </c>
      <c r="J1072" s="1">
        <v>65</v>
      </c>
    </row>
    <row r="1073" spans="2:10" x14ac:dyDescent="0.2">
      <c r="B1073" s="4">
        <v>43490</v>
      </c>
      <c r="C1073" s="8" t="s">
        <v>1109</v>
      </c>
      <c r="D1073" s="1">
        <v>5</v>
      </c>
      <c r="E1073" s="9" t="s">
        <v>136</v>
      </c>
      <c r="F1073" s="22">
        <v>136</v>
      </c>
      <c r="G1073" s="22">
        <v>187</v>
      </c>
      <c r="H1073" s="1" t="str">
        <f t="shared" si="15"/>
        <v>Fri</v>
      </c>
      <c r="I1073" s="8" t="s">
        <v>217</v>
      </c>
      <c r="J1073" s="1">
        <v>60</v>
      </c>
    </row>
    <row r="1074" spans="2:10" x14ac:dyDescent="0.2">
      <c r="B1074" s="4">
        <v>43491</v>
      </c>
      <c r="C1074" s="8" t="s">
        <v>1105</v>
      </c>
      <c r="D1074" s="1">
        <v>11</v>
      </c>
      <c r="E1074" s="9" t="s">
        <v>145</v>
      </c>
      <c r="F1074" s="22">
        <v>1005</v>
      </c>
      <c r="G1074" s="22">
        <v>186</v>
      </c>
      <c r="H1074" s="1" t="str">
        <f t="shared" si="15"/>
        <v>Sat</v>
      </c>
      <c r="I1074" s="8" t="s">
        <v>217</v>
      </c>
      <c r="J1074" s="1">
        <v>60</v>
      </c>
    </row>
    <row r="1075" spans="2:10" x14ac:dyDescent="0.2">
      <c r="B1075" s="4">
        <v>43493</v>
      </c>
      <c r="C1075" s="8" t="s">
        <v>1105</v>
      </c>
      <c r="D1075" s="1">
        <v>3</v>
      </c>
      <c r="E1075" s="9" t="s">
        <v>278</v>
      </c>
      <c r="F1075" s="22">
        <v>18</v>
      </c>
      <c r="G1075" s="22">
        <v>185</v>
      </c>
      <c r="H1075" s="1" t="str">
        <f t="shared" si="15"/>
        <v>Mon</v>
      </c>
      <c r="I1075" s="8" t="s">
        <v>313</v>
      </c>
      <c r="J1075" s="1">
        <v>60</v>
      </c>
    </row>
    <row r="1076" spans="2:10" x14ac:dyDescent="0.2">
      <c r="B1076" s="4">
        <v>43495</v>
      </c>
      <c r="C1076" s="8" t="s">
        <v>1109</v>
      </c>
      <c r="D1076" s="1">
        <v>4</v>
      </c>
      <c r="E1076" s="9" t="s">
        <v>18</v>
      </c>
      <c r="F1076" s="22">
        <v>124</v>
      </c>
      <c r="G1076" s="22">
        <v>186</v>
      </c>
      <c r="H1076" s="1" t="str">
        <f t="shared" si="15"/>
        <v>Wed</v>
      </c>
      <c r="I1076" s="8" t="s">
        <v>313</v>
      </c>
      <c r="J1076" s="1">
        <v>60</v>
      </c>
    </row>
    <row r="1077" spans="2:10" x14ac:dyDescent="0.2">
      <c r="B1077" s="4">
        <v>43497</v>
      </c>
      <c r="C1077" s="8" t="s">
        <v>1105</v>
      </c>
      <c r="D1077" s="1">
        <v>4</v>
      </c>
      <c r="E1077" s="9" t="s">
        <v>99</v>
      </c>
      <c r="F1077" s="22">
        <v>84</v>
      </c>
      <c r="G1077" s="22">
        <v>186</v>
      </c>
      <c r="H1077" s="1" t="str">
        <f t="shared" si="15"/>
        <v>Fri</v>
      </c>
      <c r="I1077" s="8" t="s">
        <v>313</v>
      </c>
      <c r="J1077" s="1">
        <v>60</v>
      </c>
    </row>
    <row r="1078" spans="2:10" x14ac:dyDescent="0.2">
      <c r="B1078" s="4">
        <v>43500</v>
      </c>
      <c r="C1078" s="8" t="s">
        <v>1105</v>
      </c>
      <c r="D1078" s="1">
        <v>4</v>
      </c>
      <c r="E1078" s="9" t="s">
        <v>1107</v>
      </c>
      <c r="F1078" s="22">
        <v>194</v>
      </c>
      <c r="G1078" s="22">
        <v>181</v>
      </c>
      <c r="H1078" s="1" t="str">
        <f t="shared" si="15"/>
        <v>Mon</v>
      </c>
      <c r="I1078" s="8" t="s">
        <v>1093</v>
      </c>
      <c r="J1078" s="1">
        <v>60</v>
      </c>
    </row>
    <row r="1079" spans="2:10" x14ac:dyDescent="0.2">
      <c r="B1079" s="4">
        <v>43502</v>
      </c>
      <c r="C1079" s="8" t="s">
        <v>1109</v>
      </c>
      <c r="D1079" s="1">
        <v>7</v>
      </c>
      <c r="E1079" s="9" t="s">
        <v>18</v>
      </c>
      <c r="F1079" s="22">
        <v>333</v>
      </c>
      <c r="G1079" s="22">
        <v>186</v>
      </c>
      <c r="H1079" s="1" t="str">
        <f t="shared" si="15"/>
        <v>Wed</v>
      </c>
      <c r="I1079" s="8" t="s">
        <v>1093</v>
      </c>
      <c r="J1079" s="1">
        <v>65</v>
      </c>
    </row>
    <row r="1080" spans="2:10" x14ac:dyDescent="0.2">
      <c r="B1080" s="4">
        <v>43504</v>
      </c>
      <c r="C1080" s="8" t="s">
        <v>1105</v>
      </c>
      <c r="D1080" s="1">
        <v>4</v>
      </c>
      <c r="E1080" s="9" t="s">
        <v>51</v>
      </c>
      <c r="F1080" s="22">
        <v>93</v>
      </c>
      <c r="G1080" s="22">
        <v>186</v>
      </c>
      <c r="H1080" s="1" t="str">
        <f t="shared" si="15"/>
        <v>Fri</v>
      </c>
      <c r="I1080" s="8" t="s">
        <v>1093</v>
      </c>
      <c r="J1080" s="1">
        <v>60</v>
      </c>
    </row>
    <row r="1081" spans="2:10" x14ac:dyDescent="0.2">
      <c r="B1081" s="4">
        <v>43507</v>
      </c>
      <c r="C1081" s="8" t="s">
        <v>1105</v>
      </c>
      <c r="D1081" s="1">
        <v>6</v>
      </c>
      <c r="E1081" s="9" t="s">
        <v>54</v>
      </c>
      <c r="F1081" s="22">
        <v>97</v>
      </c>
      <c r="G1081" s="22">
        <v>183</v>
      </c>
      <c r="H1081" s="1" t="str">
        <f t="shared" si="15"/>
        <v>Mon</v>
      </c>
      <c r="I1081" s="8" t="s">
        <v>1096</v>
      </c>
      <c r="J1081" s="1">
        <v>60</v>
      </c>
    </row>
    <row r="1082" spans="2:10" x14ac:dyDescent="0.2">
      <c r="B1082" s="4">
        <v>43511</v>
      </c>
      <c r="C1082" s="8" t="s">
        <v>1105</v>
      </c>
      <c r="D1082" s="1">
        <v>6</v>
      </c>
      <c r="E1082" s="9" t="s">
        <v>45</v>
      </c>
      <c r="F1082" s="22">
        <v>95</v>
      </c>
      <c r="G1082" s="22">
        <v>185</v>
      </c>
      <c r="H1082" s="1" t="str">
        <f t="shared" si="15"/>
        <v>Fri</v>
      </c>
      <c r="I1082" s="8" t="s">
        <v>1096</v>
      </c>
      <c r="J1082" s="1">
        <v>60</v>
      </c>
    </row>
    <row r="1083" spans="2:10" x14ac:dyDescent="0.2">
      <c r="B1083" s="4">
        <v>43512</v>
      </c>
      <c r="C1083" s="8" t="s">
        <v>1109</v>
      </c>
      <c r="D1083" s="1">
        <v>10</v>
      </c>
      <c r="E1083" s="9" t="s">
        <v>129</v>
      </c>
      <c r="F1083" s="22">
        <v>227</v>
      </c>
      <c r="G1083" s="22">
        <v>185</v>
      </c>
      <c r="H1083" s="1" t="str">
        <f t="shared" si="15"/>
        <v>Sat</v>
      </c>
      <c r="I1083" s="8" t="s">
        <v>1096</v>
      </c>
      <c r="J1083" s="1">
        <v>60</v>
      </c>
    </row>
    <row r="1084" spans="2:10" x14ac:dyDescent="0.2">
      <c r="B1084" s="4">
        <v>43514</v>
      </c>
      <c r="C1084" s="8" t="s">
        <v>1109</v>
      </c>
      <c r="D1084" s="1">
        <v>5</v>
      </c>
      <c r="E1084" s="9" t="s">
        <v>259</v>
      </c>
      <c r="F1084" s="22">
        <v>148</v>
      </c>
      <c r="G1084" s="22">
        <v>187</v>
      </c>
      <c r="H1084" s="1" t="str">
        <f t="shared" si="15"/>
        <v>Mon</v>
      </c>
      <c r="I1084" s="8" t="s">
        <v>1111</v>
      </c>
      <c r="J1084" s="1">
        <v>60</v>
      </c>
    </row>
    <row r="1085" spans="2:10" x14ac:dyDescent="0.2">
      <c r="B1085" s="4">
        <v>43517</v>
      </c>
      <c r="C1085" s="8" t="s">
        <v>1105</v>
      </c>
      <c r="D1085" s="1">
        <v>5</v>
      </c>
      <c r="E1085" s="9" t="s">
        <v>61</v>
      </c>
      <c r="F1085" s="22">
        <v>142</v>
      </c>
      <c r="G1085" s="22">
        <v>188</v>
      </c>
      <c r="H1085" s="1" t="str">
        <f t="shared" si="15"/>
        <v>Thu</v>
      </c>
      <c r="I1085" s="8" t="s">
        <v>1111</v>
      </c>
      <c r="J1085" s="1">
        <v>60</v>
      </c>
    </row>
    <row r="1086" spans="2:10" x14ac:dyDescent="0.2">
      <c r="B1086" s="4">
        <v>43521</v>
      </c>
      <c r="C1086" s="8" t="s">
        <v>1109</v>
      </c>
      <c r="D1086" s="1">
        <v>6</v>
      </c>
      <c r="E1086" s="9" t="s">
        <v>51</v>
      </c>
      <c r="F1086" s="22">
        <v>108</v>
      </c>
      <c r="G1086" s="22">
        <v>186</v>
      </c>
      <c r="H1086" s="1" t="str">
        <f t="shared" si="15"/>
        <v>Mon</v>
      </c>
      <c r="I1086" s="8" t="s">
        <v>1112</v>
      </c>
      <c r="J1086" s="1">
        <v>60</v>
      </c>
    </row>
    <row r="1087" spans="2:10" x14ac:dyDescent="0.2">
      <c r="B1087" s="4">
        <v>43526</v>
      </c>
      <c r="C1087" s="8" t="s">
        <v>1105</v>
      </c>
      <c r="D1087" s="1">
        <v>8</v>
      </c>
      <c r="E1087" s="9" t="s">
        <v>52</v>
      </c>
      <c r="F1087" s="22">
        <v>151</v>
      </c>
      <c r="G1087" s="22">
        <v>189</v>
      </c>
      <c r="H1087" s="1" t="str">
        <f t="shared" si="15"/>
        <v>Sat</v>
      </c>
      <c r="I1087" s="8" t="s">
        <v>1114</v>
      </c>
      <c r="J1087" s="1">
        <v>60</v>
      </c>
    </row>
    <row r="1088" spans="2:10" x14ac:dyDescent="0.2">
      <c r="B1088" s="4">
        <v>43526</v>
      </c>
      <c r="C1088" s="8" t="s">
        <v>1109</v>
      </c>
      <c r="D1088" s="1">
        <v>1</v>
      </c>
      <c r="E1088" s="9" t="s">
        <v>1113</v>
      </c>
      <c r="F1088" s="22">
        <v>0</v>
      </c>
      <c r="G1088" s="22">
        <v>179</v>
      </c>
      <c r="H1088" s="1" t="str">
        <f t="shared" si="15"/>
        <v>Sat</v>
      </c>
      <c r="I1088" s="8" t="s">
        <v>1114</v>
      </c>
      <c r="J1088" s="1">
        <v>60</v>
      </c>
    </row>
    <row r="1089" spans="2:10" x14ac:dyDescent="0.2">
      <c r="B1089" s="4">
        <v>43528</v>
      </c>
      <c r="C1089" s="8" t="s">
        <v>1105</v>
      </c>
      <c r="D1089" s="1">
        <v>6</v>
      </c>
      <c r="E1089" s="9" t="s">
        <v>104</v>
      </c>
      <c r="F1089" s="22">
        <v>51</v>
      </c>
      <c r="G1089" s="22">
        <v>183</v>
      </c>
      <c r="H1089" s="1" t="str">
        <f t="shared" si="15"/>
        <v>Mon</v>
      </c>
      <c r="I1089" s="8" t="s">
        <v>217</v>
      </c>
      <c r="J1089" s="1">
        <v>60</v>
      </c>
    </row>
    <row r="1090" spans="2:10" x14ac:dyDescent="0.2">
      <c r="B1090" s="4">
        <v>43530</v>
      </c>
      <c r="C1090" s="8" t="s">
        <v>1109</v>
      </c>
      <c r="D1090" s="1">
        <v>6</v>
      </c>
      <c r="E1090" s="9" t="s">
        <v>79</v>
      </c>
      <c r="F1090" s="22">
        <v>233</v>
      </c>
      <c r="G1090" s="22">
        <v>187</v>
      </c>
      <c r="H1090" s="1" t="str">
        <f t="shared" si="15"/>
        <v>Wed</v>
      </c>
      <c r="I1090" s="8" t="s">
        <v>217</v>
      </c>
      <c r="J1090" s="1">
        <v>70</v>
      </c>
    </row>
    <row r="1091" spans="2:10" x14ac:dyDescent="0.2">
      <c r="B1091" s="4">
        <v>43531</v>
      </c>
      <c r="C1091" s="8" t="s">
        <v>1105</v>
      </c>
      <c r="D1091" s="1">
        <v>3</v>
      </c>
      <c r="E1091" s="9" t="s">
        <v>154</v>
      </c>
      <c r="F1091" s="22">
        <v>12</v>
      </c>
      <c r="G1091" s="22">
        <v>188</v>
      </c>
      <c r="H1091" s="1" t="str">
        <f t="shared" si="15"/>
        <v>Thu</v>
      </c>
      <c r="I1091" s="8" t="s">
        <v>217</v>
      </c>
      <c r="J1091" s="1">
        <v>60</v>
      </c>
    </row>
    <row r="1092" spans="2:10" x14ac:dyDescent="0.2">
      <c r="B1092" s="4">
        <v>43532</v>
      </c>
      <c r="C1092" s="8" t="s">
        <v>1105</v>
      </c>
      <c r="D1092" s="1">
        <v>6</v>
      </c>
      <c r="E1092" s="9" t="s">
        <v>97</v>
      </c>
      <c r="F1092" s="22">
        <v>85</v>
      </c>
      <c r="G1092" s="22">
        <v>184</v>
      </c>
      <c r="H1092" s="1" t="str">
        <f t="shared" si="15"/>
        <v>Fri</v>
      </c>
      <c r="I1092" s="8" t="s">
        <v>217</v>
      </c>
      <c r="J1092" s="1">
        <v>60</v>
      </c>
    </row>
    <row r="1093" spans="2:10" x14ac:dyDescent="0.2">
      <c r="B1093" s="4">
        <v>43533</v>
      </c>
      <c r="C1093" s="8" t="s">
        <v>1109</v>
      </c>
      <c r="D1093" s="1">
        <v>10</v>
      </c>
      <c r="E1093" s="9" t="s">
        <v>316</v>
      </c>
      <c r="F1093" s="22">
        <v>693</v>
      </c>
      <c r="G1093" s="22">
        <v>181</v>
      </c>
      <c r="H1093" s="1" t="str">
        <f t="shared" si="15"/>
        <v>Sat</v>
      </c>
      <c r="I1093" s="8" t="s">
        <v>217</v>
      </c>
      <c r="J1093" s="1">
        <v>60</v>
      </c>
    </row>
    <row r="1094" spans="2:10" x14ac:dyDescent="0.2">
      <c r="B1094" s="4">
        <v>43535</v>
      </c>
      <c r="C1094" s="8" t="s">
        <v>1105</v>
      </c>
      <c r="D1094" s="1">
        <v>7</v>
      </c>
      <c r="E1094" s="9" t="s">
        <v>254</v>
      </c>
      <c r="F1094" s="22">
        <v>183</v>
      </c>
      <c r="G1094" s="22">
        <v>184</v>
      </c>
      <c r="H1094" s="1" t="str">
        <f t="shared" si="15"/>
        <v>Mon</v>
      </c>
      <c r="I1094" s="8" t="s">
        <v>313</v>
      </c>
      <c r="J1094" s="1">
        <v>60</v>
      </c>
    </row>
    <row r="1095" spans="2:10" x14ac:dyDescent="0.2">
      <c r="B1095" s="4">
        <v>43536</v>
      </c>
      <c r="C1095" s="8" t="s">
        <v>1109</v>
      </c>
      <c r="D1095" s="1">
        <v>2</v>
      </c>
      <c r="E1095" s="9" t="s">
        <v>261</v>
      </c>
      <c r="F1095" s="22">
        <v>16</v>
      </c>
      <c r="G1095" s="22">
        <v>187</v>
      </c>
      <c r="H1095" s="1" t="str">
        <f t="shared" si="15"/>
        <v>Tue</v>
      </c>
      <c r="I1095" s="8" t="s">
        <v>313</v>
      </c>
      <c r="J1095" s="1">
        <v>60</v>
      </c>
    </row>
    <row r="1096" spans="2:10" x14ac:dyDescent="0.2">
      <c r="B1096" s="4">
        <v>43537</v>
      </c>
      <c r="C1096" s="8" t="s">
        <v>1109</v>
      </c>
      <c r="D1096" s="1">
        <v>4</v>
      </c>
      <c r="E1096" s="9" t="s">
        <v>127</v>
      </c>
      <c r="F1096" s="22">
        <v>127</v>
      </c>
      <c r="G1096" s="22">
        <v>185</v>
      </c>
      <c r="H1096" s="1" t="str">
        <f t="shared" si="15"/>
        <v>Wed</v>
      </c>
      <c r="I1096" s="8" t="s">
        <v>313</v>
      </c>
      <c r="J1096" s="1">
        <v>60</v>
      </c>
    </row>
    <row r="1097" spans="2:10" x14ac:dyDescent="0.2">
      <c r="B1097" s="4">
        <v>43539</v>
      </c>
      <c r="C1097" s="8" t="s">
        <v>1109</v>
      </c>
      <c r="D1097" s="1">
        <v>6</v>
      </c>
      <c r="E1097" s="9" t="s">
        <v>79</v>
      </c>
      <c r="F1097" s="22">
        <v>223</v>
      </c>
      <c r="G1097" s="22">
        <v>184</v>
      </c>
      <c r="H1097" s="1" t="str">
        <f t="shared" si="15"/>
        <v>Fri</v>
      </c>
      <c r="I1097" s="8" t="s">
        <v>313</v>
      </c>
      <c r="J1097" s="1">
        <v>65</v>
      </c>
    </row>
    <row r="1098" spans="2:10" x14ac:dyDescent="0.2">
      <c r="B1098" s="4">
        <v>43544</v>
      </c>
      <c r="C1098" s="8" t="s">
        <v>1109</v>
      </c>
      <c r="D1098" s="1">
        <v>6</v>
      </c>
      <c r="E1098" s="9" t="s">
        <v>51</v>
      </c>
      <c r="F1098" s="22">
        <v>244</v>
      </c>
      <c r="G1098" s="22">
        <v>186</v>
      </c>
      <c r="H1098" s="1" t="str">
        <f t="shared" si="15"/>
        <v>Wed</v>
      </c>
      <c r="I1098" s="8" t="s">
        <v>1093</v>
      </c>
      <c r="J1098" s="1">
        <v>60</v>
      </c>
    </row>
    <row r="1099" spans="2:10" x14ac:dyDescent="0.2">
      <c r="B1099" s="4">
        <v>43546</v>
      </c>
      <c r="C1099" s="8" t="s">
        <v>1105</v>
      </c>
      <c r="D1099" s="1">
        <v>4</v>
      </c>
      <c r="E1099" s="9" t="s">
        <v>66</v>
      </c>
      <c r="F1099" s="22">
        <v>80</v>
      </c>
      <c r="G1099" s="22">
        <v>186</v>
      </c>
      <c r="H1099" s="1" t="str">
        <f t="shared" si="15"/>
        <v>Fri</v>
      </c>
      <c r="I1099" s="8" t="s">
        <v>1093</v>
      </c>
      <c r="J1099" s="1">
        <v>60</v>
      </c>
    </row>
    <row r="1100" spans="2:10" x14ac:dyDescent="0.2">
      <c r="B1100" s="4">
        <v>43547</v>
      </c>
      <c r="C1100" s="8" t="s">
        <v>1109</v>
      </c>
      <c r="D1100" s="1">
        <v>9</v>
      </c>
      <c r="E1100" s="9" t="s">
        <v>127</v>
      </c>
      <c r="F1100" s="22">
        <v>269</v>
      </c>
      <c r="G1100" s="22">
        <v>184</v>
      </c>
      <c r="H1100" s="1" t="str">
        <f t="shared" si="15"/>
        <v>Sat</v>
      </c>
      <c r="I1100" s="8" t="s">
        <v>1093</v>
      </c>
      <c r="J1100" s="1">
        <v>60</v>
      </c>
    </row>
    <row r="1101" spans="2:10" x14ac:dyDescent="0.2">
      <c r="B1101" s="4">
        <v>43549</v>
      </c>
      <c r="C1101" s="8" t="s">
        <v>1105</v>
      </c>
      <c r="D1101" s="1">
        <v>7</v>
      </c>
      <c r="E1101" s="9" t="s">
        <v>145</v>
      </c>
      <c r="F1101" s="22">
        <v>71</v>
      </c>
      <c r="G1101" s="22">
        <v>181</v>
      </c>
      <c r="H1101" s="1" t="str">
        <f t="shared" si="15"/>
        <v>Mon</v>
      </c>
      <c r="I1101" s="8" t="s">
        <v>217</v>
      </c>
      <c r="J1101" s="1">
        <v>60</v>
      </c>
    </row>
    <row r="1102" spans="2:10" x14ac:dyDescent="0.2">
      <c r="B1102" s="4">
        <v>43551</v>
      </c>
      <c r="C1102" s="8" t="s">
        <v>1109</v>
      </c>
      <c r="D1102" s="1">
        <v>7</v>
      </c>
      <c r="E1102" s="9" t="s">
        <v>65</v>
      </c>
      <c r="F1102" s="22">
        <v>326</v>
      </c>
      <c r="G1102" s="22">
        <v>185</v>
      </c>
      <c r="H1102" s="1" t="str">
        <f t="shared" si="15"/>
        <v>Wed</v>
      </c>
      <c r="I1102" s="8" t="s">
        <v>217</v>
      </c>
      <c r="J1102" s="1">
        <v>60</v>
      </c>
    </row>
    <row r="1103" spans="2:10" x14ac:dyDescent="0.2">
      <c r="B1103" s="4">
        <v>43553</v>
      </c>
      <c r="C1103" s="8" t="s">
        <v>1105</v>
      </c>
      <c r="D1103" s="1">
        <v>7</v>
      </c>
      <c r="E1103" s="9" t="s">
        <v>98</v>
      </c>
      <c r="F1103" s="22">
        <v>175</v>
      </c>
      <c r="G1103" s="22">
        <v>184</v>
      </c>
      <c r="H1103" s="1" t="str">
        <f t="shared" si="15"/>
        <v>Fri</v>
      </c>
      <c r="I1103" s="8" t="s">
        <v>217</v>
      </c>
      <c r="J1103" s="1">
        <v>60</v>
      </c>
    </row>
    <row r="1104" spans="2:10" x14ac:dyDescent="0.2">
      <c r="B1104" s="4">
        <v>43554</v>
      </c>
      <c r="C1104" s="8" t="s">
        <v>1109</v>
      </c>
      <c r="D1104" s="1">
        <v>10</v>
      </c>
      <c r="E1104" s="9" t="s">
        <v>66</v>
      </c>
      <c r="F1104" s="22">
        <v>217</v>
      </c>
      <c r="G1104" s="22">
        <v>187</v>
      </c>
      <c r="H1104" s="1" t="str">
        <f t="shared" si="15"/>
        <v>Sat</v>
      </c>
      <c r="I1104" s="8" t="s">
        <v>217</v>
      </c>
      <c r="J1104" s="1">
        <v>60</v>
      </c>
    </row>
    <row r="1105" spans="2:10" x14ac:dyDescent="0.2">
      <c r="B1105" s="4">
        <v>43556</v>
      </c>
      <c r="C1105" s="8" t="s">
        <v>1105</v>
      </c>
      <c r="D1105" s="1">
        <v>7</v>
      </c>
      <c r="E1105" s="9" t="s">
        <v>66</v>
      </c>
      <c r="F1105" s="22">
        <v>58</v>
      </c>
      <c r="G1105" s="22">
        <v>187</v>
      </c>
      <c r="H1105" s="1" t="str">
        <f t="shared" si="15"/>
        <v>Mon</v>
      </c>
      <c r="I1105" s="8" t="s">
        <v>218</v>
      </c>
      <c r="J1105" s="1">
        <v>60</v>
      </c>
    </row>
    <row r="1106" spans="2:10" x14ac:dyDescent="0.2">
      <c r="B1106" s="4">
        <v>43558</v>
      </c>
      <c r="C1106" s="8" t="s">
        <v>1109</v>
      </c>
      <c r="D1106" s="1">
        <v>7</v>
      </c>
      <c r="E1106" s="9" t="s">
        <v>99</v>
      </c>
      <c r="F1106" s="22">
        <v>317</v>
      </c>
      <c r="G1106" s="22">
        <v>185</v>
      </c>
      <c r="H1106" s="1" t="str">
        <f t="shared" si="15"/>
        <v>Wed</v>
      </c>
      <c r="I1106" s="8" t="s">
        <v>218</v>
      </c>
      <c r="J1106" s="1">
        <v>60</v>
      </c>
    </row>
    <row r="1107" spans="2:10" x14ac:dyDescent="0.2">
      <c r="B1107" s="4">
        <v>43560</v>
      </c>
      <c r="C1107" s="8" t="s">
        <v>1105</v>
      </c>
      <c r="D1107" s="1">
        <v>7</v>
      </c>
      <c r="E1107" s="9" t="s">
        <v>124</v>
      </c>
      <c r="F1107" s="22">
        <v>182</v>
      </c>
      <c r="G1107" s="22">
        <v>180</v>
      </c>
      <c r="H1107" s="1" t="str">
        <f t="shared" si="15"/>
        <v>Fri</v>
      </c>
      <c r="I1107" s="8" t="s">
        <v>218</v>
      </c>
      <c r="J1107" s="1">
        <v>60</v>
      </c>
    </row>
    <row r="1108" spans="2:10" x14ac:dyDescent="0.2">
      <c r="B1108" s="4">
        <v>43561</v>
      </c>
      <c r="C1108" s="8" t="s">
        <v>1109</v>
      </c>
      <c r="D1108" s="1">
        <v>10</v>
      </c>
      <c r="E1108" s="9" t="s">
        <v>124</v>
      </c>
      <c r="F1108" s="22">
        <v>237</v>
      </c>
      <c r="G1108" s="22">
        <v>185</v>
      </c>
      <c r="H1108" s="1" t="str">
        <f t="shared" si="15"/>
        <v>Sat</v>
      </c>
      <c r="I1108" s="8" t="s">
        <v>218</v>
      </c>
      <c r="J1108" s="1">
        <v>60</v>
      </c>
    </row>
    <row r="1109" spans="2:10" x14ac:dyDescent="0.2">
      <c r="B1109" s="4">
        <v>43565</v>
      </c>
      <c r="C1109" s="8" t="s">
        <v>1109</v>
      </c>
      <c r="D1109" s="1">
        <v>7</v>
      </c>
      <c r="E1109" s="9" t="s">
        <v>73</v>
      </c>
      <c r="F1109" s="22">
        <v>319</v>
      </c>
      <c r="G1109" s="22">
        <v>179</v>
      </c>
      <c r="H1109" s="1" t="str">
        <f t="shared" si="15"/>
        <v>Wed</v>
      </c>
      <c r="I1109" s="8" t="s">
        <v>313</v>
      </c>
      <c r="J1109" s="1">
        <v>60</v>
      </c>
    </row>
    <row r="1110" spans="2:10" x14ac:dyDescent="0.2">
      <c r="B1110" s="4">
        <v>43567</v>
      </c>
      <c r="C1110" s="8" t="s">
        <v>1105</v>
      </c>
      <c r="D1110" s="1">
        <v>7</v>
      </c>
      <c r="E1110" s="9" t="s">
        <v>70</v>
      </c>
      <c r="F1110" s="22">
        <v>169</v>
      </c>
      <c r="G1110" s="22">
        <v>179</v>
      </c>
      <c r="H1110" s="1" t="str">
        <f t="shared" si="15"/>
        <v>Fri</v>
      </c>
      <c r="I1110" s="8" t="s">
        <v>313</v>
      </c>
      <c r="J1110" s="1">
        <v>60</v>
      </c>
    </row>
    <row r="1111" spans="2:10" x14ac:dyDescent="0.2">
      <c r="B1111" s="4">
        <v>43568</v>
      </c>
      <c r="C1111" s="8" t="s">
        <v>1109</v>
      </c>
      <c r="D1111" s="1">
        <v>10</v>
      </c>
      <c r="E1111" s="9" t="s">
        <v>57</v>
      </c>
      <c r="F1111" s="22">
        <v>295</v>
      </c>
      <c r="G1111" s="22">
        <v>182</v>
      </c>
      <c r="H1111" s="1" t="str">
        <f t="shared" si="15"/>
        <v>Sat</v>
      </c>
      <c r="I1111" s="8" t="s">
        <v>313</v>
      </c>
      <c r="J1111" s="1">
        <v>60</v>
      </c>
    </row>
    <row r="1112" spans="2:10" x14ac:dyDescent="0.2">
      <c r="B1112" s="4">
        <v>43570</v>
      </c>
      <c r="C1112" s="8" t="s">
        <v>1105</v>
      </c>
      <c r="D1112" s="1">
        <v>5</v>
      </c>
      <c r="E1112" s="9" t="s">
        <v>98</v>
      </c>
      <c r="F1112" s="22">
        <v>142</v>
      </c>
      <c r="G1112" s="22">
        <v>186</v>
      </c>
      <c r="H1112" s="1" t="str">
        <f t="shared" si="15"/>
        <v>Mon</v>
      </c>
      <c r="I1112" s="8" t="s">
        <v>217</v>
      </c>
      <c r="J1112" s="1">
        <v>60</v>
      </c>
    </row>
    <row r="1113" spans="2:10" x14ac:dyDescent="0.2">
      <c r="B1113" s="4">
        <v>43573</v>
      </c>
      <c r="C1113" s="8" t="s">
        <v>1109</v>
      </c>
      <c r="D1113" s="1">
        <v>4</v>
      </c>
      <c r="E1113" s="9" t="s">
        <v>88</v>
      </c>
      <c r="F1113" s="22">
        <v>64</v>
      </c>
      <c r="G1113" s="22">
        <v>169</v>
      </c>
      <c r="H1113" s="1" t="str">
        <f t="shared" si="15"/>
        <v>Thu</v>
      </c>
      <c r="I1113" s="8" t="s">
        <v>217</v>
      </c>
      <c r="J1113" s="1">
        <v>75</v>
      </c>
    </row>
    <row r="1114" spans="2:10" x14ac:dyDescent="0.2">
      <c r="B1114" s="4">
        <v>43575</v>
      </c>
      <c r="C1114" s="8" t="s">
        <v>1105</v>
      </c>
      <c r="D1114" s="1">
        <v>10</v>
      </c>
      <c r="E1114" s="9" t="s">
        <v>28</v>
      </c>
      <c r="F1114" s="22">
        <v>260</v>
      </c>
      <c r="G1114" s="22">
        <v>185</v>
      </c>
      <c r="H1114" s="1" t="str">
        <f t="shared" si="15"/>
        <v>Sat</v>
      </c>
      <c r="I1114" s="8" t="s">
        <v>217</v>
      </c>
      <c r="J1114" s="1">
        <v>65</v>
      </c>
    </row>
    <row r="1115" spans="2:10" x14ac:dyDescent="0.2">
      <c r="B1115" s="4">
        <v>43577</v>
      </c>
      <c r="C1115" s="8" t="s">
        <v>1105</v>
      </c>
      <c r="D1115" s="1">
        <v>6</v>
      </c>
      <c r="E1115" s="9" t="s">
        <v>58</v>
      </c>
      <c r="F1115" s="22">
        <v>100</v>
      </c>
      <c r="G1115" s="22">
        <v>185</v>
      </c>
      <c r="H1115" s="1" t="str">
        <f t="shared" si="15"/>
        <v>Mon</v>
      </c>
      <c r="I1115" s="8" t="s">
        <v>218</v>
      </c>
      <c r="J1115" s="1">
        <v>65</v>
      </c>
    </row>
    <row r="1116" spans="2:10" x14ac:dyDescent="0.2">
      <c r="B1116" s="4">
        <v>43579</v>
      </c>
      <c r="C1116" s="8" t="s">
        <v>1115</v>
      </c>
      <c r="D1116" s="1">
        <v>6</v>
      </c>
      <c r="E1116" s="9" t="s">
        <v>30</v>
      </c>
      <c r="F1116" s="22">
        <v>243</v>
      </c>
      <c r="G1116" s="22">
        <v>179</v>
      </c>
      <c r="H1116" s="1" t="str">
        <f t="shared" si="15"/>
        <v>Wed</v>
      </c>
      <c r="I1116" s="8" t="s">
        <v>218</v>
      </c>
      <c r="J1116" s="1">
        <v>75</v>
      </c>
    </row>
    <row r="1117" spans="2:10" x14ac:dyDescent="0.2">
      <c r="B1117" s="4">
        <v>43581</v>
      </c>
      <c r="C1117" s="8" t="s">
        <v>1109</v>
      </c>
      <c r="D1117" s="1">
        <v>6</v>
      </c>
      <c r="E1117" s="9" t="s">
        <v>28</v>
      </c>
      <c r="F1117" s="22">
        <v>263</v>
      </c>
      <c r="G1117" s="22">
        <v>183</v>
      </c>
      <c r="H1117" s="1" t="str">
        <f t="shared" si="15"/>
        <v>Fri</v>
      </c>
      <c r="I1117" s="8" t="s">
        <v>218</v>
      </c>
      <c r="J1117" s="1">
        <v>65</v>
      </c>
    </row>
    <row r="1118" spans="2:10" x14ac:dyDescent="0.2">
      <c r="B1118" s="4">
        <v>43582</v>
      </c>
      <c r="C1118" s="8" t="s">
        <v>1105</v>
      </c>
      <c r="D1118" s="1">
        <v>11</v>
      </c>
      <c r="E1118" s="9" t="s">
        <v>55</v>
      </c>
      <c r="F1118" s="22">
        <v>228</v>
      </c>
      <c r="G1118" s="22">
        <v>188</v>
      </c>
      <c r="H1118" s="1" t="str">
        <f t="shared" si="15"/>
        <v>Sat</v>
      </c>
      <c r="I1118" s="8" t="s">
        <v>218</v>
      </c>
      <c r="J1118" s="1">
        <v>65</v>
      </c>
    </row>
    <row r="1119" spans="2:10" x14ac:dyDescent="0.2">
      <c r="B1119" s="4">
        <v>43584</v>
      </c>
      <c r="C1119" s="8" t="s">
        <v>1105</v>
      </c>
      <c r="D1119" s="1">
        <v>7</v>
      </c>
      <c r="E1119" s="9" t="s">
        <v>55</v>
      </c>
      <c r="F1119" s="22">
        <v>203</v>
      </c>
      <c r="G1119" s="22">
        <v>185</v>
      </c>
      <c r="H1119" s="1" t="str">
        <f t="shared" si="15"/>
        <v>Mon</v>
      </c>
      <c r="I1119" s="8" t="s">
        <v>219</v>
      </c>
      <c r="J1119" s="1">
        <v>65</v>
      </c>
    </row>
    <row r="1120" spans="2:10" x14ac:dyDescent="0.2">
      <c r="B1120" s="4">
        <v>43586</v>
      </c>
      <c r="C1120" s="8" t="s">
        <v>1109</v>
      </c>
      <c r="D1120" s="1">
        <v>7</v>
      </c>
      <c r="E1120" s="9" t="s">
        <v>141</v>
      </c>
      <c r="F1120" s="22">
        <v>219</v>
      </c>
      <c r="G1120" s="22">
        <v>184</v>
      </c>
      <c r="H1120" s="1" t="str">
        <f t="shared" si="15"/>
        <v>Wed</v>
      </c>
      <c r="I1120" s="8" t="s">
        <v>219</v>
      </c>
      <c r="J1120" s="1">
        <v>75</v>
      </c>
    </row>
    <row r="1121" spans="2:10" x14ac:dyDescent="0.2">
      <c r="B1121" s="4">
        <v>43588</v>
      </c>
      <c r="C1121" s="8" t="s">
        <v>1105</v>
      </c>
      <c r="D1121" s="1">
        <v>7</v>
      </c>
      <c r="E1121" s="9" t="s">
        <v>58</v>
      </c>
      <c r="F1121" s="22">
        <v>256</v>
      </c>
      <c r="G1121" s="22">
        <v>183</v>
      </c>
      <c r="H1121" s="1" t="str">
        <f t="shared" si="15"/>
        <v>Fri</v>
      </c>
      <c r="I1121" s="8" t="s">
        <v>219</v>
      </c>
      <c r="J1121" s="1">
        <v>65</v>
      </c>
    </row>
    <row r="1122" spans="2:10" x14ac:dyDescent="0.2">
      <c r="B1122" s="4">
        <v>43589</v>
      </c>
      <c r="C1122" s="8" t="s">
        <v>1109</v>
      </c>
      <c r="D1122" s="1">
        <v>11</v>
      </c>
      <c r="E1122" s="9" t="s">
        <v>26</v>
      </c>
      <c r="F1122" s="22">
        <v>288</v>
      </c>
      <c r="G1122" s="22">
        <v>187</v>
      </c>
      <c r="H1122" s="1" t="str">
        <f t="shared" si="15"/>
        <v>Sat</v>
      </c>
      <c r="I1122" s="8" t="s">
        <v>313</v>
      </c>
      <c r="J1122" s="1">
        <v>65</v>
      </c>
    </row>
    <row r="1123" spans="2:10" x14ac:dyDescent="0.2">
      <c r="B1123" s="4">
        <v>43591</v>
      </c>
      <c r="C1123" s="8" t="s">
        <v>1105</v>
      </c>
      <c r="D1123" s="1">
        <v>6</v>
      </c>
      <c r="E1123" s="9" t="s">
        <v>55</v>
      </c>
      <c r="F1123" s="22">
        <v>135</v>
      </c>
      <c r="G1123" s="22">
        <v>186</v>
      </c>
      <c r="H1123" s="1" t="str">
        <f t="shared" si="15"/>
        <v>Mon</v>
      </c>
      <c r="I1123" s="8" t="s">
        <v>313</v>
      </c>
      <c r="J1123" s="1">
        <v>65</v>
      </c>
    </row>
    <row r="1124" spans="2:10" x14ac:dyDescent="0.2">
      <c r="B1124" s="4">
        <v>43593</v>
      </c>
      <c r="C1124" s="8" t="s">
        <v>1109</v>
      </c>
      <c r="D1124" s="1">
        <v>5</v>
      </c>
      <c r="E1124" s="9" t="s">
        <v>260</v>
      </c>
      <c r="F1124" s="22">
        <v>142</v>
      </c>
      <c r="G1124" s="22">
        <v>184</v>
      </c>
      <c r="H1124" s="1" t="str">
        <f t="shared" ref="H1124" si="16">TEXT(B1124,"ddd")</f>
        <v>Wed</v>
      </c>
      <c r="I1124" s="8" t="s">
        <v>313</v>
      </c>
      <c r="J1124" s="1">
        <v>60</v>
      </c>
    </row>
    <row r="1125" spans="2:10" x14ac:dyDescent="0.2">
      <c r="B1125" s="4">
        <v>43595</v>
      </c>
      <c r="C1125" s="8" t="s">
        <v>1105</v>
      </c>
      <c r="D1125" s="1">
        <v>5</v>
      </c>
      <c r="E1125" s="9" t="s">
        <v>121</v>
      </c>
      <c r="F1125" s="22">
        <v>62</v>
      </c>
      <c r="G1125" s="22">
        <v>184</v>
      </c>
      <c r="H1125" s="1" t="str">
        <f t="shared" ref="H1125:H1249" si="17">TEXT(B1125,"ddd")</f>
        <v>Fri</v>
      </c>
      <c r="I1125" s="8" t="s">
        <v>313</v>
      </c>
      <c r="J1125" s="1">
        <v>60</v>
      </c>
    </row>
    <row r="1126" spans="2:10" x14ac:dyDescent="0.2">
      <c r="B1126" s="4">
        <v>43596</v>
      </c>
      <c r="C1126" s="8" t="s">
        <v>1109</v>
      </c>
      <c r="D1126" s="1">
        <v>6</v>
      </c>
      <c r="E1126" s="9" t="s">
        <v>118</v>
      </c>
      <c r="F1126" s="22">
        <v>154</v>
      </c>
      <c r="G1126" s="22">
        <v>184</v>
      </c>
      <c r="H1126" s="1" t="str">
        <f t="shared" si="17"/>
        <v>Sat</v>
      </c>
      <c r="I1126" s="8" t="s">
        <v>313</v>
      </c>
      <c r="J1126" s="1">
        <v>60</v>
      </c>
    </row>
    <row r="1127" spans="2:10" x14ac:dyDescent="0.2">
      <c r="B1127" s="4">
        <v>43598</v>
      </c>
      <c r="C1127" s="8" t="s">
        <v>1109</v>
      </c>
      <c r="D1127" s="1">
        <v>6</v>
      </c>
      <c r="E1127" s="9" t="s">
        <v>70</v>
      </c>
      <c r="F1127" s="22">
        <v>188</v>
      </c>
      <c r="G1127" s="22">
        <v>186</v>
      </c>
      <c r="H1127" s="1" t="str">
        <f t="shared" si="17"/>
        <v>Mon</v>
      </c>
      <c r="I1127" s="8" t="s">
        <v>1093</v>
      </c>
      <c r="J1127" s="1">
        <v>60</v>
      </c>
    </row>
    <row r="1128" spans="2:10" x14ac:dyDescent="0.2">
      <c r="B1128" s="4">
        <v>43600</v>
      </c>
      <c r="C1128" s="8" t="s">
        <v>1115</v>
      </c>
      <c r="D1128" s="1">
        <v>4</v>
      </c>
      <c r="E1128" s="9" t="s">
        <v>98</v>
      </c>
      <c r="F1128" s="22">
        <v>200</v>
      </c>
      <c r="G1128" s="22">
        <v>184</v>
      </c>
      <c r="H1128" s="1" t="str">
        <f t="shared" si="17"/>
        <v>Wed</v>
      </c>
      <c r="I1128" s="8" t="s">
        <v>1093</v>
      </c>
      <c r="J1128" s="1">
        <v>60</v>
      </c>
    </row>
    <row r="1129" spans="2:10" x14ac:dyDescent="0.2">
      <c r="B1129" s="4">
        <v>43602</v>
      </c>
      <c r="C1129" s="8" t="s">
        <v>1109</v>
      </c>
      <c r="D1129" s="1">
        <v>4</v>
      </c>
      <c r="E1129" s="9" t="s">
        <v>154</v>
      </c>
      <c r="F1129" s="22">
        <v>86</v>
      </c>
      <c r="G1129" s="22">
        <v>185</v>
      </c>
      <c r="H1129" s="1" t="str">
        <f t="shared" si="17"/>
        <v>Fri</v>
      </c>
      <c r="I1129" s="8" t="s">
        <v>1093</v>
      </c>
      <c r="J1129" s="1">
        <v>60</v>
      </c>
    </row>
    <row r="1130" spans="2:10" x14ac:dyDescent="0.2">
      <c r="B1130" s="4">
        <v>43603</v>
      </c>
      <c r="C1130" s="8" t="s">
        <v>1109</v>
      </c>
      <c r="D1130" s="1">
        <v>6</v>
      </c>
      <c r="E1130" s="9" t="s">
        <v>97</v>
      </c>
      <c r="F1130" s="22">
        <v>219</v>
      </c>
      <c r="G1130" s="22">
        <v>184</v>
      </c>
      <c r="H1130" s="1" t="str">
        <f t="shared" si="17"/>
        <v>Sat</v>
      </c>
      <c r="I1130" s="8" t="s">
        <v>1093</v>
      </c>
      <c r="J1130" s="1">
        <v>60</v>
      </c>
    </row>
    <row r="1131" spans="2:10" x14ac:dyDescent="0.2">
      <c r="B1131" s="4">
        <v>43605</v>
      </c>
      <c r="C1131" s="8" t="s">
        <v>1115</v>
      </c>
      <c r="D1131" s="1">
        <v>7</v>
      </c>
      <c r="E1131" s="9" t="s">
        <v>22</v>
      </c>
      <c r="F1131" s="22">
        <v>227</v>
      </c>
      <c r="G1131" s="22">
        <v>184</v>
      </c>
      <c r="H1131" s="1" t="str">
        <f t="shared" si="17"/>
        <v>Mon</v>
      </c>
      <c r="I1131" s="8" t="s">
        <v>217</v>
      </c>
      <c r="J1131" s="1">
        <v>60</v>
      </c>
    </row>
    <row r="1132" spans="2:10" x14ac:dyDescent="0.2">
      <c r="B1132" s="4">
        <v>43607</v>
      </c>
      <c r="C1132" s="8" t="s">
        <v>1109</v>
      </c>
      <c r="D1132" s="1">
        <v>6</v>
      </c>
      <c r="E1132" s="9" t="s">
        <v>136</v>
      </c>
      <c r="F1132" s="22">
        <v>231</v>
      </c>
      <c r="G1132" s="22">
        <v>184</v>
      </c>
      <c r="H1132" s="1" t="str">
        <f t="shared" si="17"/>
        <v>Wed</v>
      </c>
      <c r="I1132" s="8" t="s">
        <v>217</v>
      </c>
      <c r="J1132" s="1">
        <v>60</v>
      </c>
    </row>
    <row r="1133" spans="2:10" x14ac:dyDescent="0.2">
      <c r="B1133" s="4">
        <v>43609</v>
      </c>
      <c r="C1133" s="8" t="s">
        <v>1115</v>
      </c>
      <c r="D1133" s="1">
        <v>6</v>
      </c>
      <c r="E1133" s="9" t="s">
        <v>255</v>
      </c>
      <c r="F1133" s="22">
        <v>283</v>
      </c>
      <c r="G1133" s="22">
        <v>184</v>
      </c>
      <c r="H1133" s="1" t="str">
        <f t="shared" si="17"/>
        <v>Fri</v>
      </c>
      <c r="I1133" s="8" t="s">
        <v>217</v>
      </c>
      <c r="J1133" s="1">
        <v>60</v>
      </c>
    </row>
    <row r="1134" spans="2:10" x14ac:dyDescent="0.2">
      <c r="B1134" s="4">
        <v>43610</v>
      </c>
      <c r="C1134" s="8" t="s">
        <v>1109</v>
      </c>
      <c r="D1134" s="1">
        <v>10</v>
      </c>
      <c r="E1134" s="9" t="s">
        <v>1107</v>
      </c>
      <c r="F1134" s="22">
        <v>672</v>
      </c>
      <c r="G1134" s="22">
        <v>180</v>
      </c>
      <c r="H1134" s="1" t="str">
        <f t="shared" si="17"/>
        <v>Sat</v>
      </c>
      <c r="I1134" s="8" t="s">
        <v>217</v>
      </c>
      <c r="J1134" s="1">
        <v>60</v>
      </c>
    </row>
    <row r="1135" spans="2:10" x14ac:dyDescent="0.2">
      <c r="B1135" s="4">
        <v>43611</v>
      </c>
      <c r="C1135" s="8" t="s">
        <v>1115</v>
      </c>
      <c r="D1135" s="1">
        <v>4</v>
      </c>
      <c r="E1135" s="9" t="s">
        <v>1117</v>
      </c>
      <c r="F1135" s="22">
        <v>127</v>
      </c>
      <c r="G1135" s="22">
        <v>175</v>
      </c>
      <c r="H1135" s="1" t="str">
        <f t="shared" si="17"/>
        <v>Sun</v>
      </c>
      <c r="I1135" s="8" t="s">
        <v>217</v>
      </c>
      <c r="J1135" s="1">
        <v>60</v>
      </c>
    </row>
    <row r="1136" spans="2:10" x14ac:dyDescent="0.2">
      <c r="B1136" s="4">
        <v>43612</v>
      </c>
      <c r="C1136" s="8" t="s">
        <v>1109</v>
      </c>
      <c r="D1136" s="1">
        <v>9</v>
      </c>
      <c r="E1136" s="9" t="s">
        <v>145</v>
      </c>
      <c r="F1136" s="22">
        <v>442</v>
      </c>
      <c r="G1136" s="22">
        <v>186</v>
      </c>
      <c r="H1136" s="1" t="str">
        <f t="shared" si="17"/>
        <v>Mon</v>
      </c>
      <c r="I1136" s="8" t="s">
        <v>218</v>
      </c>
      <c r="J1136" s="1">
        <v>60</v>
      </c>
    </row>
    <row r="1137" spans="2:10" x14ac:dyDescent="0.2">
      <c r="B1137" s="4">
        <v>43613</v>
      </c>
      <c r="C1137" s="8" t="s">
        <v>1109</v>
      </c>
      <c r="D1137" s="1">
        <v>3</v>
      </c>
      <c r="E1137" s="9" t="s">
        <v>1118</v>
      </c>
      <c r="F1137" s="22">
        <v>13</v>
      </c>
      <c r="G1137" s="22">
        <v>186</v>
      </c>
      <c r="H1137" s="1" t="str">
        <f t="shared" si="17"/>
        <v>Tue</v>
      </c>
      <c r="I1137" s="8" t="s">
        <v>218</v>
      </c>
      <c r="J1137" s="1">
        <v>60</v>
      </c>
    </row>
    <row r="1138" spans="2:10" x14ac:dyDescent="0.2">
      <c r="B1138" s="4">
        <v>43614</v>
      </c>
      <c r="C1138" s="8" t="s">
        <v>1109</v>
      </c>
      <c r="D1138" s="1">
        <v>5</v>
      </c>
      <c r="E1138" s="9" t="s">
        <v>128</v>
      </c>
      <c r="F1138" s="22">
        <v>135</v>
      </c>
      <c r="G1138" s="22">
        <v>182</v>
      </c>
      <c r="H1138" s="1" t="str">
        <f t="shared" si="17"/>
        <v>Wed</v>
      </c>
      <c r="I1138" s="8" t="s">
        <v>218</v>
      </c>
      <c r="J1138" s="1">
        <v>60</v>
      </c>
    </row>
    <row r="1139" spans="2:10" x14ac:dyDescent="0.2">
      <c r="B1139" s="4">
        <v>43617</v>
      </c>
      <c r="C1139" s="8" t="s">
        <v>1123</v>
      </c>
      <c r="D1139" s="1">
        <v>10</v>
      </c>
      <c r="E1139" s="9" t="s">
        <v>261</v>
      </c>
      <c r="F1139" s="22">
        <v>156</v>
      </c>
      <c r="G1139" s="22">
        <v>184</v>
      </c>
      <c r="H1139" s="1" t="str">
        <f t="shared" si="17"/>
        <v>Sat</v>
      </c>
      <c r="I1139" s="8" t="s">
        <v>218</v>
      </c>
      <c r="J1139" s="1">
        <v>60</v>
      </c>
    </row>
    <row r="1140" spans="2:10" x14ac:dyDescent="0.2">
      <c r="B1140" s="4">
        <v>43619</v>
      </c>
      <c r="C1140" s="8" t="s">
        <v>1109</v>
      </c>
      <c r="D1140" s="1">
        <v>7</v>
      </c>
      <c r="E1140" s="9" t="s">
        <v>101</v>
      </c>
      <c r="F1140" s="22">
        <v>156</v>
      </c>
      <c r="G1140" s="22">
        <v>184</v>
      </c>
      <c r="H1140" s="1" t="str">
        <f t="shared" si="17"/>
        <v>Mon</v>
      </c>
      <c r="I1140" s="8" t="s">
        <v>219</v>
      </c>
      <c r="J1140" s="1">
        <v>60</v>
      </c>
    </row>
    <row r="1141" spans="2:10" x14ac:dyDescent="0.2">
      <c r="B1141" s="4">
        <v>43621</v>
      </c>
      <c r="C1141" s="8" t="s">
        <v>1123</v>
      </c>
      <c r="D1141" s="1">
        <v>7</v>
      </c>
      <c r="E1141" s="9" t="s">
        <v>11</v>
      </c>
      <c r="F1141" s="22">
        <v>372</v>
      </c>
      <c r="G1141" s="22">
        <v>185</v>
      </c>
      <c r="H1141" s="1" t="str">
        <f t="shared" si="17"/>
        <v>Wed</v>
      </c>
      <c r="I1141" s="8" t="s">
        <v>219</v>
      </c>
      <c r="J1141" s="1">
        <v>60</v>
      </c>
    </row>
    <row r="1142" spans="2:10" x14ac:dyDescent="0.2">
      <c r="B1142" s="4">
        <v>43623</v>
      </c>
      <c r="C1142" s="8" t="s">
        <v>1109</v>
      </c>
      <c r="D1142" s="1">
        <v>7</v>
      </c>
      <c r="E1142" s="9" t="s">
        <v>221</v>
      </c>
      <c r="F1142" s="22">
        <v>255</v>
      </c>
      <c r="G1142" s="22">
        <v>183</v>
      </c>
      <c r="H1142" s="1" t="str">
        <f t="shared" si="17"/>
        <v>Fri</v>
      </c>
      <c r="I1142" s="8" t="s">
        <v>219</v>
      </c>
      <c r="J1142" s="1">
        <v>60</v>
      </c>
    </row>
    <row r="1143" spans="2:10" x14ac:dyDescent="0.2">
      <c r="B1143" s="4">
        <v>43624</v>
      </c>
      <c r="C1143" s="8" t="s">
        <v>1123</v>
      </c>
      <c r="D1143" s="1">
        <v>10</v>
      </c>
      <c r="E1143" s="9" t="s">
        <v>134</v>
      </c>
      <c r="F1143" s="22">
        <v>264</v>
      </c>
      <c r="G1143" s="22">
        <v>184</v>
      </c>
      <c r="H1143" s="1" t="str">
        <f t="shared" si="17"/>
        <v>Sat</v>
      </c>
      <c r="I1143" s="8" t="s">
        <v>219</v>
      </c>
      <c r="J1143" s="1">
        <v>60</v>
      </c>
    </row>
    <row r="1144" spans="2:10" x14ac:dyDescent="0.2">
      <c r="B1144" s="4">
        <v>43626</v>
      </c>
      <c r="C1144" s="8" t="s">
        <v>1109</v>
      </c>
      <c r="D1144" s="1">
        <v>6</v>
      </c>
      <c r="E1144" s="9" t="s">
        <v>150</v>
      </c>
      <c r="F1144" s="22">
        <v>93</v>
      </c>
      <c r="G1144" s="22">
        <v>185</v>
      </c>
      <c r="H1144" s="1" t="str">
        <f t="shared" si="17"/>
        <v>Mon</v>
      </c>
      <c r="I1144" s="8" t="s">
        <v>313</v>
      </c>
      <c r="J1144" s="1">
        <v>65</v>
      </c>
    </row>
    <row r="1145" spans="2:10" x14ac:dyDescent="0.2">
      <c r="B1145" s="4">
        <v>43628</v>
      </c>
      <c r="C1145" s="8" t="s">
        <v>1123</v>
      </c>
      <c r="D1145" s="1">
        <v>6</v>
      </c>
      <c r="E1145" s="9" t="s">
        <v>247</v>
      </c>
      <c r="F1145" s="22">
        <v>260</v>
      </c>
      <c r="G1145" s="22">
        <v>187</v>
      </c>
      <c r="H1145" s="1" t="str">
        <f t="shared" si="17"/>
        <v>Wed</v>
      </c>
      <c r="I1145" s="8" t="s">
        <v>313</v>
      </c>
      <c r="J1145" s="1">
        <v>60</v>
      </c>
    </row>
    <row r="1146" spans="2:10" x14ac:dyDescent="0.2">
      <c r="B1146" s="4">
        <v>43630</v>
      </c>
      <c r="C1146" s="8" t="s">
        <v>1124</v>
      </c>
      <c r="D1146" s="1">
        <v>4</v>
      </c>
      <c r="E1146" s="9" t="s">
        <v>98</v>
      </c>
      <c r="F1146" s="22">
        <v>147</v>
      </c>
      <c r="G1146" s="22">
        <v>183</v>
      </c>
      <c r="H1146" s="1" t="str">
        <f t="shared" si="17"/>
        <v>Fri</v>
      </c>
      <c r="I1146" s="8" t="s">
        <v>313</v>
      </c>
      <c r="J1146" s="1">
        <v>60</v>
      </c>
    </row>
    <row r="1147" spans="2:10" x14ac:dyDescent="0.2">
      <c r="B1147" s="4">
        <v>43635</v>
      </c>
      <c r="C1147" s="8" t="s">
        <v>1123</v>
      </c>
      <c r="D1147" s="1">
        <v>3</v>
      </c>
      <c r="E1147" s="9" t="s">
        <v>64</v>
      </c>
      <c r="F1147" s="22">
        <v>11</v>
      </c>
      <c r="G1147" s="22">
        <v>186</v>
      </c>
      <c r="H1147" s="1" t="str">
        <f t="shared" si="17"/>
        <v>Wed</v>
      </c>
      <c r="I1147" s="8" t="s">
        <v>1093</v>
      </c>
      <c r="J1147" s="1">
        <v>60</v>
      </c>
    </row>
    <row r="1148" spans="2:10" x14ac:dyDescent="0.2">
      <c r="B1148" s="4">
        <v>43637</v>
      </c>
      <c r="C1148" s="8" t="s">
        <v>1109</v>
      </c>
      <c r="D1148" s="1">
        <v>4</v>
      </c>
      <c r="E1148" s="9" t="s">
        <v>92</v>
      </c>
      <c r="F1148" s="22">
        <v>120</v>
      </c>
      <c r="G1148" s="22">
        <v>186</v>
      </c>
      <c r="H1148" s="1" t="str">
        <f t="shared" si="17"/>
        <v>Fri</v>
      </c>
      <c r="I1148" s="8" t="s">
        <v>1093</v>
      </c>
      <c r="J1148" s="1">
        <v>60</v>
      </c>
    </row>
    <row r="1149" spans="2:10" x14ac:dyDescent="0.2">
      <c r="B1149" s="4">
        <v>43638</v>
      </c>
      <c r="C1149" s="8" t="s">
        <v>1123</v>
      </c>
      <c r="D1149" s="1">
        <v>8</v>
      </c>
      <c r="E1149" s="9" t="s">
        <v>277</v>
      </c>
      <c r="F1149" s="22">
        <v>442</v>
      </c>
      <c r="G1149" s="22">
        <v>185</v>
      </c>
      <c r="H1149" s="1" t="str">
        <f t="shared" si="17"/>
        <v>Sat</v>
      </c>
      <c r="I1149" s="8" t="s">
        <v>1093</v>
      </c>
      <c r="J1149" s="1">
        <v>60</v>
      </c>
    </row>
    <row r="1150" spans="2:10" x14ac:dyDescent="0.2">
      <c r="B1150" s="4">
        <v>43640</v>
      </c>
      <c r="C1150" s="8" t="s">
        <v>1109</v>
      </c>
      <c r="D1150" s="1">
        <v>7</v>
      </c>
      <c r="E1150" s="9" t="s">
        <v>264</v>
      </c>
      <c r="F1150" s="22">
        <v>212</v>
      </c>
      <c r="G1150" s="22">
        <v>185</v>
      </c>
      <c r="H1150" s="1" t="str">
        <f t="shared" si="17"/>
        <v>Mon</v>
      </c>
      <c r="I1150" s="8" t="s">
        <v>217</v>
      </c>
      <c r="J1150" s="1">
        <v>60</v>
      </c>
    </row>
    <row r="1151" spans="2:10" x14ac:dyDescent="0.2">
      <c r="B1151" s="4">
        <v>43642</v>
      </c>
      <c r="C1151" s="8" t="s">
        <v>1123</v>
      </c>
      <c r="D1151" s="1">
        <v>7</v>
      </c>
      <c r="E1151" s="9" t="s">
        <v>139</v>
      </c>
      <c r="F1151" s="22">
        <v>307</v>
      </c>
      <c r="G1151" s="22">
        <v>184</v>
      </c>
      <c r="H1151" s="1" t="str">
        <f t="shared" si="17"/>
        <v>Wed</v>
      </c>
      <c r="I1151" s="8" t="s">
        <v>217</v>
      </c>
      <c r="J1151" s="1">
        <v>60</v>
      </c>
    </row>
    <row r="1152" spans="2:10" x14ac:dyDescent="0.2">
      <c r="B1152" s="4">
        <v>43644</v>
      </c>
      <c r="C1152" s="8" t="s">
        <v>1109</v>
      </c>
      <c r="D1152" s="1">
        <v>7</v>
      </c>
      <c r="E1152" s="9" t="s">
        <v>261</v>
      </c>
      <c r="F1152" s="22">
        <v>209</v>
      </c>
      <c r="G1152" s="22">
        <v>184</v>
      </c>
      <c r="H1152" s="1" t="str">
        <f t="shared" si="17"/>
        <v>Fri</v>
      </c>
      <c r="I1152" s="8" t="s">
        <v>217</v>
      </c>
      <c r="J1152" s="1">
        <v>60</v>
      </c>
    </row>
    <row r="1153" spans="2:10" x14ac:dyDescent="0.2">
      <c r="B1153" s="4">
        <v>43645</v>
      </c>
      <c r="C1153" s="8" t="s">
        <v>1123</v>
      </c>
      <c r="D1153" s="1">
        <v>13</v>
      </c>
      <c r="E1153" s="9" t="s">
        <v>1097</v>
      </c>
      <c r="F1153" s="22">
        <v>941</v>
      </c>
      <c r="G1153" s="22">
        <v>181</v>
      </c>
      <c r="H1153" s="1" t="str">
        <f t="shared" si="17"/>
        <v>Sat</v>
      </c>
      <c r="I1153" s="8" t="s">
        <v>217</v>
      </c>
      <c r="J1153" s="1">
        <v>60</v>
      </c>
    </row>
    <row r="1154" spans="2:10" x14ac:dyDescent="0.2">
      <c r="B1154" s="4">
        <v>43647</v>
      </c>
      <c r="C1154" s="8" t="s">
        <v>1109</v>
      </c>
      <c r="D1154" s="1">
        <v>7</v>
      </c>
      <c r="E1154" s="9" t="s">
        <v>54</v>
      </c>
      <c r="F1154" s="22">
        <v>212</v>
      </c>
      <c r="G1154" s="22">
        <v>187</v>
      </c>
      <c r="H1154" s="1" t="str">
        <f t="shared" si="17"/>
        <v>Mon</v>
      </c>
      <c r="I1154" s="8" t="s">
        <v>218</v>
      </c>
      <c r="J1154" s="1">
        <v>60</v>
      </c>
    </row>
    <row r="1155" spans="2:10" x14ac:dyDescent="0.2">
      <c r="B1155" s="4">
        <v>43649</v>
      </c>
      <c r="C1155" s="8" t="s">
        <v>1123</v>
      </c>
      <c r="D1155" s="1">
        <v>4</v>
      </c>
      <c r="E1155" s="9" t="s">
        <v>150</v>
      </c>
      <c r="F1155" s="22">
        <v>133</v>
      </c>
      <c r="G1155" s="22">
        <v>182</v>
      </c>
      <c r="H1155" s="1" t="str">
        <f t="shared" si="17"/>
        <v>Wed</v>
      </c>
      <c r="I1155" s="8" t="s">
        <v>218</v>
      </c>
      <c r="J1155" s="1">
        <v>70</v>
      </c>
    </row>
    <row r="1156" spans="2:10" x14ac:dyDescent="0.2">
      <c r="B1156" s="4">
        <v>43651</v>
      </c>
      <c r="C1156" s="8" t="s">
        <v>1109</v>
      </c>
      <c r="D1156" s="1">
        <v>7</v>
      </c>
      <c r="E1156" s="9" t="s">
        <v>1087</v>
      </c>
      <c r="F1156" s="22">
        <v>351</v>
      </c>
      <c r="G1156" s="22">
        <v>185</v>
      </c>
      <c r="H1156" s="1" t="str">
        <f t="shared" si="17"/>
        <v>Fri</v>
      </c>
      <c r="I1156" s="8" t="s">
        <v>218</v>
      </c>
      <c r="J1156" s="1">
        <v>60</v>
      </c>
    </row>
    <row r="1157" spans="2:10" x14ac:dyDescent="0.2">
      <c r="B1157" s="4">
        <v>43652</v>
      </c>
      <c r="C1157" s="8" t="s">
        <v>1120</v>
      </c>
      <c r="D1157" s="1">
        <v>9</v>
      </c>
      <c r="E1157" s="9" t="s">
        <v>1122</v>
      </c>
      <c r="F1157" s="22">
        <v>1178</v>
      </c>
      <c r="G1157" s="22">
        <v>167</v>
      </c>
      <c r="H1157" s="1" t="str">
        <f t="shared" si="17"/>
        <v>Sat</v>
      </c>
      <c r="I1157" s="8" t="s">
        <v>218</v>
      </c>
      <c r="J1157" s="1">
        <v>65</v>
      </c>
    </row>
    <row r="1158" spans="2:10" x14ac:dyDescent="0.2">
      <c r="B1158" s="4">
        <v>43656</v>
      </c>
      <c r="C1158" s="8" t="s">
        <v>1123</v>
      </c>
      <c r="D1158" s="1">
        <v>10</v>
      </c>
      <c r="E1158" s="9" t="s">
        <v>124</v>
      </c>
      <c r="F1158" s="22">
        <v>205</v>
      </c>
      <c r="G1158" s="22">
        <v>185</v>
      </c>
      <c r="H1158" s="1" t="str">
        <f t="shared" si="17"/>
        <v>Wed</v>
      </c>
      <c r="I1158" s="8" t="s">
        <v>219</v>
      </c>
      <c r="J1158" s="1">
        <v>60</v>
      </c>
    </row>
    <row r="1159" spans="2:10" x14ac:dyDescent="0.2">
      <c r="B1159" s="4">
        <v>43658</v>
      </c>
      <c r="C1159" s="8" t="s">
        <v>1109</v>
      </c>
      <c r="D1159" s="1">
        <v>10</v>
      </c>
      <c r="E1159" s="9" t="s">
        <v>131</v>
      </c>
      <c r="F1159" s="22">
        <v>738</v>
      </c>
      <c r="G1159" s="22">
        <v>183</v>
      </c>
      <c r="H1159" s="1" t="str">
        <f t="shared" si="17"/>
        <v>Fri</v>
      </c>
      <c r="I1159" s="8" t="s">
        <v>219</v>
      </c>
      <c r="J1159" s="1">
        <v>60</v>
      </c>
    </row>
    <row r="1160" spans="2:10" x14ac:dyDescent="0.2">
      <c r="B1160" s="4">
        <v>43659</v>
      </c>
      <c r="C1160" s="8" t="s">
        <v>1124</v>
      </c>
      <c r="D1160" s="1">
        <v>14</v>
      </c>
      <c r="E1160" s="9" t="s">
        <v>316</v>
      </c>
      <c r="F1160" s="22">
        <v>321</v>
      </c>
      <c r="G1160" s="22">
        <v>181</v>
      </c>
      <c r="H1160" s="1" t="str">
        <f t="shared" si="17"/>
        <v>Sat</v>
      </c>
      <c r="I1160" s="8" t="s">
        <v>219</v>
      </c>
      <c r="J1160" s="1">
        <v>60</v>
      </c>
    </row>
    <row r="1161" spans="2:10" x14ac:dyDescent="0.2">
      <c r="B1161" s="4">
        <v>43660</v>
      </c>
      <c r="C1161" s="8" t="s">
        <v>1123</v>
      </c>
      <c r="D1161" s="1">
        <v>4</v>
      </c>
      <c r="E1161" s="9" t="s">
        <v>106</v>
      </c>
      <c r="F1161" s="22">
        <v>70</v>
      </c>
      <c r="G1161" s="22">
        <v>183</v>
      </c>
      <c r="H1161" s="1" t="str">
        <f t="shared" si="17"/>
        <v>Sun</v>
      </c>
      <c r="I1161" s="8" t="s">
        <v>219</v>
      </c>
      <c r="J1161" s="1">
        <v>60</v>
      </c>
    </row>
    <row r="1162" spans="2:10" x14ac:dyDescent="0.2">
      <c r="B1162" s="4">
        <v>43661</v>
      </c>
      <c r="C1162" s="8" t="s">
        <v>1123</v>
      </c>
      <c r="D1162" s="1">
        <v>10</v>
      </c>
      <c r="E1162" s="9" t="s">
        <v>126</v>
      </c>
      <c r="F1162" s="22">
        <v>163</v>
      </c>
      <c r="G1162" s="22">
        <v>184</v>
      </c>
      <c r="H1162" s="1" t="str">
        <f t="shared" si="17"/>
        <v>Mon</v>
      </c>
      <c r="I1162" s="8" t="s">
        <v>306</v>
      </c>
      <c r="J1162" s="1">
        <v>60</v>
      </c>
    </row>
    <row r="1163" spans="2:10" x14ac:dyDescent="0.2">
      <c r="B1163" s="4">
        <v>43663</v>
      </c>
      <c r="C1163" s="8" t="s">
        <v>1124</v>
      </c>
      <c r="D1163" s="1">
        <v>10</v>
      </c>
      <c r="E1163" s="9" t="s">
        <v>255</v>
      </c>
      <c r="F1163" s="22">
        <v>430</v>
      </c>
      <c r="G1163" s="22">
        <v>184</v>
      </c>
      <c r="H1163" s="1" t="str">
        <f t="shared" si="17"/>
        <v>Wed</v>
      </c>
      <c r="I1163" s="8" t="s">
        <v>306</v>
      </c>
      <c r="J1163" s="1">
        <v>65</v>
      </c>
    </row>
    <row r="1164" spans="2:10" x14ac:dyDescent="0.2">
      <c r="B1164" s="4">
        <v>43665</v>
      </c>
      <c r="C1164" s="8" t="s">
        <v>1123</v>
      </c>
      <c r="D1164" s="1">
        <v>10</v>
      </c>
      <c r="E1164" s="9" t="s">
        <v>109</v>
      </c>
      <c r="F1164" s="22">
        <v>655</v>
      </c>
      <c r="G1164" s="22">
        <v>183</v>
      </c>
      <c r="H1164" s="1" t="str">
        <f t="shared" si="17"/>
        <v>Fri</v>
      </c>
      <c r="I1164" s="8" t="s">
        <v>306</v>
      </c>
      <c r="J1164" s="1">
        <v>60</v>
      </c>
    </row>
    <row r="1165" spans="2:10" x14ac:dyDescent="0.2">
      <c r="B1165" s="4">
        <v>43666</v>
      </c>
      <c r="C1165" s="8" t="s">
        <v>1120</v>
      </c>
      <c r="D1165" s="1">
        <v>9.5</v>
      </c>
      <c r="E1165" s="9" t="s">
        <v>1125</v>
      </c>
      <c r="F1165" s="22">
        <v>1739</v>
      </c>
      <c r="G1165" s="22">
        <v>156</v>
      </c>
      <c r="H1165" s="1" t="str">
        <f t="shared" si="17"/>
        <v>Sat</v>
      </c>
      <c r="I1165" s="8" t="s">
        <v>306</v>
      </c>
      <c r="J1165" s="1">
        <v>60</v>
      </c>
    </row>
    <row r="1166" spans="2:10" x14ac:dyDescent="0.2">
      <c r="B1166" s="4">
        <v>43669</v>
      </c>
      <c r="C1166" s="8" t="s">
        <v>1124</v>
      </c>
      <c r="D1166" s="1">
        <v>10</v>
      </c>
      <c r="E1166" s="9" t="s">
        <v>254</v>
      </c>
      <c r="F1166" s="22">
        <v>201</v>
      </c>
      <c r="G1166" s="22">
        <v>181</v>
      </c>
      <c r="H1166" s="1" t="str">
        <f t="shared" si="17"/>
        <v>Tue</v>
      </c>
      <c r="I1166" s="8" t="s">
        <v>306</v>
      </c>
      <c r="J1166" s="1">
        <v>60</v>
      </c>
    </row>
    <row r="1167" spans="2:10" x14ac:dyDescent="0.2">
      <c r="B1167" s="4">
        <v>43671</v>
      </c>
      <c r="C1167" s="8" t="s">
        <v>1123</v>
      </c>
      <c r="D1167" s="1">
        <v>10</v>
      </c>
      <c r="E1167" s="9" t="s">
        <v>261</v>
      </c>
      <c r="F1167" s="22">
        <v>705</v>
      </c>
      <c r="G1167" s="22">
        <v>182</v>
      </c>
      <c r="H1167" s="1" t="str">
        <f t="shared" si="17"/>
        <v>Thu</v>
      </c>
      <c r="I1167" s="8" t="s">
        <v>306</v>
      </c>
      <c r="J1167" s="1">
        <v>65</v>
      </c>
    </row>
    <row r="1168" spans="2:10" x14ac:dyDescent="0.2">
      <c r="B1168" s="4">
        <v>43673</v>
      </c>
      <c r="C1168" s="8" t="s">
        <v>1124</v>
      </c>
      <c r="D1168" s="1">
        <v>15</v>
      </c>
      <c r="E1168" s="9" t="s">
        <v>106</v>
      </c>
      <c r="F1168" s="22">
        <v>340</v>
      </c>
      <c r="G1168" s="22">
        <v>181</v>
      </c>
      <c r="H1168" s="1" t="str">
        <f t="shared" si="17"/>
        <v>Sat</v>
      </c>
      <c r="I1168" s="8" t="s">
        <v>306</v>
      </c>
      <c r="J1168" s="1">
        <v>60</v>
      </c>
    </row>
    <row r="1169" spans="2:10" x14ac:dyDescent="0.2">
      <c r="B1169" s="4">
        <v>43674</v>
      </c>
      <c r="C1169" s="8" t="s">
        <v>1123</v>
      </c>
      <c r="D1169" s="1">
        <v>8</v>
      </c>
      <c r="E1169" s="9" t="s">
        <v>268</v>
      </c>
      <c r="F1169" s="22">
        <v>461</v>
      </c>
      <c r="G1169" s="22">
        <v>182</v>
      </c>
      <c r="H1169" s="1" t="str">
        <f t="shared" si="17"/>
        <v>Sun</v>
      </c>
      <c r="I1169" s="8" t="s">
        <v>306</v>
      </c>
      <c r="J1169" s="1">
        <v>60</v>
      </c>
    </row>
    <row r="1170" spans="2:10" x14ac:dyDescent="0.2">
      <c r="B1170" s="4">
        <v>43675</v>
      </c>
      <c r="C1170" s="8" t="s">
        <v>1124</v>
      </c>
      <c r="D1170" s="1">
        <v>10</v>
      </c>
      <c r="E1170" s="9" t="s">
        <v>137</v>
      </c>
      <c r="F1170" s="22">
        <v>96</v>
      </c>
      <c r="G1170" s="22">
        <v>184</v>
      </c>
      <c r="H1170" s="1" t="str">
        <f t="shared" si="17"/>
        <v>Mon</v>
      </c>
      <c r="I1170" s="8" t="s">
        <v>312</v>
      </c>
      <c r="J1170" s="1">
        <v>60</v>
      </c>
    </row>
    <row r="1171" spans="2:10" x14ac:dyDescent="0.2">
      <c r="B1171" s="4">
        <v>43677</v>
      </c>
      <c r="C1171" s="8" t="s">
        <v>1123</v>
      </c>
      <c r="D1171" s="1">
        <v>6</v>
      </c>
      <c r="E1171" s="9" t="s">
        <v>278</v>
      </c>
      <c r="F1171" s="22">
        <v>98</v>
      </c>
      <c r="G1171" s="22">
        <v>184</v>
      </c>
      <c r="H1171" s="1" t="str">
        <f t="shared" si="17"/>
        <v>Wed</v>
      </c>
      <c r="I1171" s="8" t="s">
        <v>312</v>
      </c>
      <c r="J1171" s="1">
        <v>60</v>
      </c>
    </row>
    <row r="1172" spans="2:10" x14ac:dyDescent="0.2">
      <c r="B1172" s="4">
        <v>43679</v>
      </c>
      <c r="C1172" s="8" t="s">
        <v>1124</v>
      </c>
      <c r="D1172" s="1">
        <v>10</v>
      </c>
      <c r="E1172" s="9" t="s">
        <v>270</v>
      </c>
      <c r="F1172" s="22">
        <v>695</v>
      </c>
      <c r="G1172" s="22">
        <v>184</v>
      </c>
      <c r="H1172" s="1" t="str">
        <f t="shared" si="17"/>
        <v>Fri</v>
      </c>
      <c r="I1172" s="8" t="s">
        <v>312</v>
      </c>
      <c r="J1172" s="1">
        <v>60</v>
      </c>
    </row>
    <row r="1173" spans="2:10" x14ac:dyDescent="0.2">
      <c r="B1173" s="4">
        <v>43680</v>
      </c>
      <c r="C1173" s="8" t="s">
        <v>1120</v>
      </c>
      <c r="D1173" s="1">
        <v>10</v>
      </c>
      <c r="E1173" s="9" t="s">
        <v>1126</v>
      </c>
      <c r="F1173" s="22">
        <v>1814</v>
      </c>
      <c r="G1173" s="22">
        <v>162</v>
      </c>
      <c r="H1173" s="1" t="str">
        <f t="shared" si="17"/>
        <v>Sat</v>
      </c>
      <c r="I1173" s="8" t="s">
        <v>312</v>
      </c>
      <c r="J1173" s="1">
        <v>60</v>
      </c>
    </row>
    <row r="1174" spans="2:10" x14ac:dyDescent="0.2">
      <c r="B1174" s="4">
        <v>43682</v>
      </c>
      <c r="C1174" s="8" t="s">
        <v>1123</v>
      </c>
      <c r="D1174" s="1">
        <v>10</v>
      </c>
      <c r="E1174" s="9" t="s">
        <v>112</v>
      </c>
      <c r="F1174" s="22">
        <v>435</v>
      </c>
      <c r="G1174" s="22">
        <v>184</v>
      </c>
      <c r="H1174" s="1" t="str">
        <f t="shared" si="17"/>
        <v>Mon</v>
      </c>
      <c r="I1174" s="8" t="s">
        <v>1099</v>
      </c>
      <c r="J1174" s="1">
        <v>60</v>
      </c>
    </row>
    <row r="1175" spans="2:10" x14ac:dyDescent="0.2">
      <c r="B1175" s="4">
        <v>43684</v>
      </c>
      <c r="C1175" s="8" t="s">
        <v>1124</v>
      </c>
      <c r="D1175" s="1">
        <v>10</v>
      </c>
      <c r="E1175" s="9" t="s">
        <v>126</v>
      </c>
      <c r="F1175" s="22">
        <v>561</v>
      </c>
      <c r="G1175" s="22">
        <v>182</v>
      </c>
      <c r="H1175" s="1" t="str">
        <f t="shared" si="17"/>
        <v>Wed</v>
      </c>
      <c r="I1175" s="8" t="s">
        <v>1099</v>
      </c>
      <c r="J1175" s="1">
        <v>60</v>
      </c>
    </row>
    <row r="1176" spans="2:10" x14ac:dyDescent="0.2">
      <c r="B1176" s="4">
        <v>43686</v>
      </c>
      <c r="C1176" s="8" t="s">
        <v>1123</v>
      </c>
      <c r="D1176" s="1">
        <v>10</v>
      </c>
      <c r="E1176" s="9" t="s">
        <v>112</v>
      </c>
      <c r="F1176" s="22">
        <v>946</v>
      </c>
      <c r="G1176" s="22">
        <v>184</v>
      </c>
      <c r="H1176" s="1" t="str">
        <f t="shared" si="17"/>
        <v>Fri</v>
      </c>
      <c r="I1176" s="8" t="s">
        <v>1099</v>
      </c>
      <c r="J1176" s="1">
        <v>60</v>
      </c>
    </row>
    <row r="1177" spans="2:10" x14ac:dyDescent="0.2">
      <c r="B1177" s="4">
        <v>43687</v>
      </c>
      <c r="C1177" s="8" t="s">
        <v>1124</v>
      </c>
      <c r="D1177" s="1">
        <v>15</v>
      </c>
      <c r="E1177" s="9" t="s">
        <v>1127</v>
      </c>
      <c r="F1177" s="22">
        <v>457</v>
      </c>
      <c r="G1177" s="22">
        <v>175</v>
      </c>
      <c r="H1177" s="1" t="str">
        <f t="shared" si="17"/>
        <v>Sat</v>
      </c>
      <c r="I1177" s="8" t="s">
        <v>1099</v>
      </c>
      <c r="J1177" s="1">
        <v>60</v>
      </c>
    </row>
    <row r="1178" spans="2:10" x14ac:dyDescent="0.2">
      <c r="B1178" s="4">
        <v>43689</v>
      </c>
      <c r="C1178" s="8" t="s">
        <v>1123</v>
      </c>
      <c r="D1178" s="1">
        <v>7</v>
      </c>
      <c r="E1178" s="9" t="s">
        <v>254</v>
      </c>
      <c r="F1178" s="22">
        <v>211</v>
      </c>
      <c r="G1178" s="22">
        <v>185</v>
      </c>
      <c r="H1178" s="1" t="str">
        <f t="shared" si="17"/>
        <v>Mon</v>
      </c>
      <c r="I1178" s="8" t="s">
        <v>313</v>
      </c>
      <c r="J1178" s="1">
        <v>60</v>
      </c>
    </row>
    <row r="1179" spans="2:10" x14ac:dyDescent="0.2">
      <c r="B1179" s="4">
        <v>43691</v>
      </c>
      <c r="C1179" s="8" t="s">
        <v>1124</v>
      </c>
      <c r="D1179" s="1">
        <v>7</v>
      </c>
      <c r="E1179" s="9" t="s">
        <v>66</v>
      </c>
      <c r="F1179" s="22">
        <v>84</v>
      </c>
      <c r="G1179" s="22">
        <v>186</v>
      </c>
      <c r="H1179" s="1" t="str">
        <f t="shared" si="17"/>
        <v>Wed</v>
      </c>
      <c r="I1179" s="8" t="s">
        <v>313</v>
      </c>
      <c r="J1179" s="1">
        <v>60</v>
      </c>
    </row>
    <row r="1180" spans="2:10" x14ac:dyDescent="0.2">
      <c r="B1180" s="4">
        <v>43693</v>
      </c>
      <c r="C1180" s="8" t="s">
        <v>1123</v>
      </c>
      <c r="D1180" s="1">
        <v>7</v>
      </c>
      <c r="E1180" s="9" t="s">
        <v>128</v>
      </c>
      <c r="F1180" s="22">
        <v>175</v>
      </c>
      <c r="G1180" s="22">
        <v>185</v>
      </c>
      <c r="H1180" s="1" t="str">
        <f t="shared" si="17"/>
        <v>Fri</v>
      </c>
      <c r="I1180" s="8" t="s">
        <v>313</v>
      </c>
      <c r="J1180" s="1">
        <v>60</v>
      </c>
    </row>
    <row r="1181" spans="2:10" x14ac:dyDescent="0.2">
      <c r="B1181" s="4">
        <v>43694</v>
      </c>
      <c r="C1181" s="8" t="s">
        <v>1124</v>
      </c>
      <c r="D1181" s="1">
        <v>10</v>
      </c>
      <c r="E1181" s="9" t="s">
        <v>278</v>
      </c>
      <c r="F1181" s="22">
        <v>265</v>
      </c>
      <c r="G1181" s="22">
        <v>185</v>
      </c>
      <c r="H1181" s="1" t="str">
        <f t="shared" si="17"/>
        <v>Sat</v>
      </c>
      <c r="I1181" s="8" t="s">
        <v>313</v>
      </c>
      <c r="J1181" s="1">
        <v>60</v>
      </c>
    </row>
    <row r="1182" spans="2:10" x14ac:dyDescent="0.2">
      <c r="B1182" s="4">
        <v>43696</v>
      </c>
      <c r="C1182" s="8" t="s">
        <v>1123</v>
      </c>
      <c r="D1182" s="1">
        <v>10</v>
      </c>
      <c r="E1182" s="9" t="s">
        <v>316</v>
      </c>
      <c r="F1182" s="22">
        <v>575</v>
      </c>
      <c r="G1182" s="22">
        <v>185</v>
      </c>
      <c r="H1182" s="1" t="str">
        <f t="shared" si="17"/>
        <v>Mon</v>
      </c>
      <c r="I1182" s="8" t="s">
        <v>217</v>
      </c>
      <c r="J1182" s="1">
        <v>60</v>
      </c>
    </row>
    <row r="1183" spans="2:10" x14ac:dyDescent="0.2">
      <c r="B1183" s="4">
        <v>43698</v>
      </c>
      <c r="C1183" s="8" t="s">
        <v>1124</v>
      </c>
      <c r="D1183" s="1">
        <v>10</v>
      </c>
      <c r="E1183" s="9" t="s">
        <v>101</v>
      </c>
      <c r="F1183" s="22">
        <v>686</v>
      </c>
      <c r="G1183" s="22">
        <v>187</v>
      </c>
      <c r="H1183" s="1" t="str">
        <f t="shared" si="17"/>
        <v>Wed</v>
      </c>
      <c r="I1183" s="8" t="s">
        <v>217</v>
      </c>
      <c r="J1183" s="1">
        <v>70</v>
      </c>
    </row>
    <row r="1184" spans="2:10" x14ac:dyDescent="0.2">
      <c r="B1184" s="4">
        <v>43700</v>
      </c>
      <c r="C1184" s="8" t="s">
        <v>1123</v>
      </c>
      <c r="D1184" s="1">
        <v>10</v>
      </c>
      <c r="E1184" s="9" t="s">
        <v>101</v>
      </c>
      <c r="F1184" s="22">
        <v>95</v>
      </c>
      <c r="G1184" s="22">
        <v>185</v>
      </c>
      <c r="H1184" s="1" t="str">
        <f t="shared" si="17"/>
        <v>Fri</v>
      </c>
      <c r="I1184" s="8" t="s">
        <v>217</v>
      </c>
      <c r="J1184" s="1">
        <v>60</v>
      </c>
    </row>
    <row r="1185" spans="2:10" x14ac:dyDescent="0.2">
      <c r="B1185" s="4">
        <v>43701</v>
      </c>
      <c r="C1185" s="8" t="s">
        <v>1124</v>
      </c>
      <c r="D1185" s="1">
        <v>15</v>
      </c>
      <c r="E1185" s="9" t="s">
        <v>1128</v>
      </c>
      <c r="F1185" s="22">
        <v>857</v>
      </c>
      <c r="G1185" s="22">
        <v>183</v>
      </c>
      <c r="H1185" s="1" t="str">
        <f t="shared" si="17"/>
        <v>Sat</v>
      </c>
      <c r="I1185" s="8" t="s">
        <v>217</v>
      </c>
      <c r="J1185" s="1">
        <v>60</v>
      </c>
    </row>
    <row r="1186" spans="2:10" x14ac:dyDescent="0.2">
      <c r="B1186" s="4">
        <v>43703</v>
      </c>
      <c r="C1186" s="8" t="s">
        <v>1123</v>
      </c>
      <c r="D1186" s="1">
        <v>10</v>
      </c>
      <c r="E1186" s="9" t="s">
        <v>243</v>
      </c>
      <c r="F1186" s="22">
        <v>567</v>
      </c>
      <c r="G1186" s="22">
        <v>182</v>
      </c>
      <c r="H1186" s="1" t="str">
        <f t="shared" si="17"/>
        <v>Mon</v>
      </c>
      <c r="I1186" s="8" t="s">
        <v>218</v>
      </c>
      <c r="J1186" s="1">
        <v>60</v>
      </c>
    </row>
    <row r="1187" spans="2:10" x14ac:dyDescent="0.2">
      <c r="B1187" s="4">
        <v>43705</v>
      </c>
      <c r="C1187" s="8" t="s">
        <v>1124</v>
      </c>
      <c r="D1187" s="1">
        <v>10</v>
      </c>
      <c r="E1187" s="9" t="s">
        <v>139</v>
      </c>
      <c r="F1187" s="22">
        <v>383</v>
      </c>
      <c r="G1187" s="22">
        <v>186</v>
      </c>
      <c r="H1187" s="1" t="str">
        <f t="shared" si="17"/>
        <v>Wed</v>
      </c>
      <c r="I1187" s="8" t="s">
        <v>218</v>
      </c>
      <c r="J1187" s="1">
        <v>70</v>
      </c>
    </row>
    <row r="1188" spans="2:10" x14ac:dyDescent="0.2">
      <c r="B1188" s="4">
        <v>43707</v>
      </c>
      <c r="C1188" s="8" t="s">
        <v>1123</v>
      </c>
      <c r="D1188" s="1">
        <v>10</v>
      </c>
      <c r="E1188" s="9" t="s">
        <v>104</v>
      </c>
      <c r="F1188" s="22">
        <v>249</v>
      </c>
      <c r="G1188" s="22">
        <v>185</v>
      </c>
      <c r="H1188" s="1" t="str">
        <f t="shared" si="17"/>
        <v>Fri</v>
      </c>
      <c r="I1188" s="8" t="s">
        <v>218</v>
      </c>
      <c r="J1188" s="1">
        <v>60</v>
      </c>
    </row>
    <row r="1189" spans="2:10" x14ac:dyDescent="0.2">
      <c r="B1189" s="4">
        <v>43708</v>
      </c>
      <c r="C1189" s="8" t="s">
        <v>1120</v>
      </c>
      <c r="D1189" s="1">
        <v>10</v>
      </c>
      <c r="E1189" s="9" t="s">
        <v>1129</v>
      </c>
      <c r="F1189" s="22">
        <v>1772</v>
      </c>
      <c r="G1189" s="22">
        <v>167</v>
      </c>
      <c r="H1189" s="1" t="str">
        <f t="shared" si="17"/>
        <v>Sat</v>
      </c>
      <c r="I1189" s="8" t="s">
        <v>218</v>
      </c>
      <c r="J1189" s="1">
        <v>60</v>
      </c>
    </row>
    <row r="1190" spans="2:10" x14ac:dyDescent="0.2">
      <c r="B1190" s="4">
        <v>43711</v>
      </c>
      <c r="C1190" s="8" t="s">
        <v>1124</v>
      </c>
      <c r="D1190" s="1">
        <v>6</v>
      </c>
      <c r="E1190" s="9" t="s">
        <v>45</v>
      </c>
      <c r="F1190" s="22">
        <v>175</v>
      </c>
      <c r="G1190" s="22">
        <v>184</v>
      </c>
      <c r="H1190" s="1" t="str">
        <f t="shared" si="17"/>
        <v>Tue</v>
      </c>
      <c r="I1190" s="8" t="s">
        <v>313</v>
      </c>
      <c r="J1190" s="1">
        <v>60</v>
      </c>
    </row>
    <row r="1191" spans="2:10" x14ac:dyDescent="0.2">
      <c r="B1191" s="4">
        <v>43712</v>
      </c>
      <c r="C1191" s="8" t="s">
        <v>1123</v>
      </c>
      <c r="D1191" s="1">
        <v>8</v>
      </c>
      <c r="E1191" s="9" t="s">
        <v>128</v>
      </c>
      <c r="F1191" s="22">
        <v>358</v>
      </c>
      <c r="G1191" s="22">
        <v>184</v>
      </c>
      <c r="H1191" s="1" t="str">
        <f t="shared" si="17"/>
        <v>Wed</v>
      </c>
      <c r="I1191" s="8" t="s">
        <v>313</v>
      </c>
      <c r="J1191" s="1">
        <v>60</v>
      </c>
    </row>
    <row r="1192" spans="2:10" x14ac:dyDescent="0.2">
      <c r="B1192" s="4">
        <v>43714</v>
      </c>
      <c r="C1192" s="8" t="s">
        <v>1124</v>
      </c>
      <c r="D1192" s="1">
        <v>11</v>
      </c>
      <c r="E1192" s="9" t="s">
        <v>57</v>
      </c>
      <c r="F1192" s="22">
        <v>328</v>
      </c>
      <c r="G1192" s="22">
        <v>186</v>
      </c>
      <c r="H1192" s="1" t="str">
        <f t="shared" si="17"/>
        <v>Fri</v>
      </c>
      <c r="I1192" s="8" t="s">
        <v>313</v>
      </c>
      <c r="J1192" s="1">
        <v>60</v>
      </c>
    </row>
    <row r="1193" spans="2:10" x14ac:dyDescent="0.2">
      <c r="B1193" s="4">
        <v>42620</v>
      </c>
      <c r="C1193" s="8" t="s">
        <v>1123</v>
      </c>
      <c r="D1193" s="1">
        <v>13</v>
      </c>
      <c r="E1193" s="9" t="s">
        <v>277</v>
      </c>
      <c r="F1193" s="22">
        <v>298</v>
      </c>
      <c r="G1193" s="22">
        <v>187</v>
      </c>
      <c r="H1193" s="1" t="str">
        <f t="shared" si="17"/>
        <v>Wed</v>
      </c>
      <c r="I1193" s="8" t="s">
        <v>313</v>
      </c>
      <c r="J1193" s="1">
        <v>60</v>
      </c>
    </row>
    <row r="1194" spans="2:10" x14ac:dyDescent="0.2">
      <c r="B1194" s="35">
        <v>43717</v>
      </c>
      <c r="C1194" s="8" t="s">
        <v>1124</v>
      </c>
      <c r="D1194" s="1">
        <v>4</v>
      </c>
      <c r="E1194" s="9" t="s">
        <v>101</v>
      </c>
      <c r="F1194" s="22">
        <v>130</v>
      </c>
      <c r="G1194" s="22">
        <v>185</v>
      </c>
      <c r="H1194" s="1" t="str">
        <f t="shared" si="17"/>
        <v>Mon</v>
      </c>
      <c r="I1194" s="8" t="s">
        <v>217</v>
      </c>
      <c r="J1194" s="1">
        <v>60</v>
      </c>
    </row>
    <row r="1195" spans="2:10" x14ac:dyDescent="0.2">
      <c r="B1195" s="4">
        <v>43718</v>
      </c>
      <c r="C1195" s="8" t="s">
        <v>1123</v>
      </c>
      <c r="D1195" s="1">
        <v>11</v>
      </c>
      <c r="E1195" s="9" t="s">
        <v>1134</v>
      </c>
      <c r="F1195" s="22">
        <v>1013</v>
      </c>
      <c r="G1195" s="22">
        <v>184</v>
      </c>
      <c r="H1195" s="1" t="str">
        <f t="shared" si="17"/>
        <v>Tue</v>
      </c>
      <c r="I1195" s="8" t="s">
        <v>217</v>
      </c>
      <c r="J1195" s="1">
        <v>60</v>
      </c>
    </row>
    <row r="1196" spans="2:10" x14ac:dyDescent="0.2">
      <c r="B1196" s="4">
        <v>43719</v>
      </c>
      <c r="C1196" s="8" t="s">
        <v>1124</v>
      </c>
      <c r="D1196" s="1">
        <v>5</v>
      </c>
      <c r="E1196" s="9" t="s">
        <v>113</v>
      </c>
      <c r="F1196" s="22">
        <v>153</v>
      </c>
      <c r="G1196" s="22">
        <v>816</v>
      </c>
      <c r="H1196" s="1" t="str">
        <f t="shared" si="17"/>
        <v>Wed</v>
      </c>
      <c r="I1196" s="8" t="s">
        <v>217</v>
      </c>
      <c r="J1196" s="1">
        <v>60</v>
      </c>
    </row>
    <row r="1197" spans="2:10" x14ac:dyDescent="0.2">
      <c r="B1197" s="4">
        <v>43720</v>
      </c>
      <c r="C1197" s="8" t="s">
        <v>1135</v>
      </c>
      <c r="D1197" s="1">
        <v>9</v>
      </c>
      <c r="E1197" s="9" t="s">
        <v>28</v>
      </c>
      <c r="F1197" s="22">
        <v>243</v>
      </c>
      <c r="G1197" s="22">
        <v>187</v>
      </c>
      <c r="H1197" s="1" t="str">
        <f t="shared" si="17"/>
        <v>Thu</v>
      </c>
      <c r="I1197" s="8" t="s">
        <v>217</v>
      </c>
      <c r="J1197" s="1">
        <v>75</v>
      </c>
    </row>
    <row r="1198" spans="2:10" x14ac:dyDescent="0.2">
      <c r="B1198" s="4">
        <v>43721</v>
      </c>
      <c r="C1198" s="8" t="s">
        <v>1123</v>
      </c>
      <c r="D1198" s="1">
        <v>4</v>
      </c>
      <c r="E1198" s="9" t="s">
        <v>277</v>
      </c>
      <c r="F1198" s="22">
        <v>152</v>
      </c>
      <c r="G1198" s="22">
        <v>185</v>
      </c>
      <c r="H1198" s="1" t="str">
        <f t="shared" si="17"/>
        <v>Fri</v>
      </c>
      <c r="I1198" s="8" t="s">
        <v>217</v>
      </c>
      <c r="J1198" s="1">
        <v>60</v>
      </c>
    </row>
    <row r="1199" spans="2:10" x14ac:dyDescent="0.2">
      <c r="B1199" s="4">
        <v>43722</v>
      </c>
      <c r="C1199" s="8" t="s">
        <v>1124</v>
      </c>
      <c r="D1199" s="1">
        <v>15</v>
      </c>
      <c r="E1199" s="9" t="s">
        <v>137</v>
      </c>
      <c r="F1199" s="22">
        <v>648</v>
      </c>
      <c r="G1199" s="22">
        <v>186</v>
      </c>
      <c r="H1199" s="1" t="str">
        <f t="shared" si="17"/>
        <v>Sat</v>
      </c>
      <c r="I1199" s="8" t="s">
        <v>217</v>
      </c>
      <c r="J1199" s="1">
        <v>60</v>
      </c>
    </row>
    <row r="1200" spans="2:10" x14ac:dyDescent="0.2">
      <c r="B1200" s="4">
        <v>43724</v>
      </c>
      <c r="C1200" s="8" t="s">
        <v>1135</v>
      </c>
      <c r="D1200" s="1">
        <v>5</v>
      </c>
      <c r="E1200" s="9" t="s">
        <v>103</v>
      </c>
      <c r="F1200" s="22">
        <v>233</v>
      </c>
      <c r="G1200" s="22">
        <v>185</v>
      </c>
      <c r="H1200" s="1" t="str">
        <f t="shared" si="17"/>
        <v>Mon</v>
      </c>
      <c r="I1200" s="8" t="s">
        <v>218</v>
      </c>
      <c r="J1200" s="1">
        <v>60</v>
      </c>
    </row>
    <row r="1201" spans="2:10" x14ac:dyDescent="0.2">
      <c r="B1201" s="4">
        <v>43725</v>
      </c>
      <c r="C1201" s="8" t="s">
        <v>1124</v>
      </c>
      <c r="D1201" s="1">
        <v>10</v>
      </c>
      <c r="E1201" s="9" t="s">
        <v>55</v>
      </c>
      <c r="F1201" s="22">
        <v>275</v>
      </c>
      <c r="G1201" s="22">
        <v>189</v>
      </c>
      <c r="H1201" s="1" t="str">
        <f t="shared" si="17"/>
        <v>Tue</v>
      </c>
      <c r="I1201" s="8" t="s">
        <v>218</v>
      </c>
      <c r="J1201" s="1">
        <v>70</v>
      </c>
    </row>
    <row r="1202" spans="2:10" x14ac:dyDescent="0.2">
      <c r="B1202" s="4">
        <v>43726</v>
      </c>
      <c r="C1202" s="8" t="s">
        <v>1135</v>
      </c>
      <c r="D1202" s="1">
        <v>4</v>
      </c>
      <c r="E1202" s="9" t="s">
        <v>221</v>
      </c>
      <c r="F1202" s="22">
        <v>23</v>
      </c>
      <c r="G1202" s="22">
        <v>186</v>
      </c>
      <c r="H1202" s="1" t="str">
        <f t="shared" si="17"/>
        <v>Wed</v>
      </c>
      <c r="I1202" s="8" t="s">
        <v>218</v>
      </c>
      <c r="J1202" s="1">
        <v>60</v>
      </c>
    </row>
    <row r="1203" spans="2:10" x14ac:dyDescent="0.2">
      <c r="B1203" s="4">
        <v>43727</v>
      </c>
      <c r="C1203" s="8" t="s">
        <v>1123</v>
      </c>
      <c r="D1203" s="1">
        <v>9</v>
      </c>
      <c r="E1203" s="9" t="s">
        <v>101</v>
      </c>
      <c r="F1203" s="22">
        <v>148</v>
      </c>
      <c r="G1203" s="22">
        <v>186</v>
      </c>
      <c r="H1203" s="1" t="str">
        <f t="shared" si="17"/>
        <v>Thu</v>
      </c>
      <c r="I1203" s="8" t="s">
        <v>218</v>
      </c>
      <c r="J1203" s="1">
        <v>60</v>
      </c>
    </row>
    <row r="1204" spans="2:10" x14ac:dyDescent="0.2">
      <c r="B1204" s="4">
        <v>43728</v>
      </c>
      <c r="C1204" s="8" t="s">
        <v>1135</v>
      </c>
      <c r="D1204" s="1">
        <v>5</v>
      </c>
      <c r="E1204" s="9" t="s">
        <v>278</v>
      </c>
      <c r="F1204" s="22">
        <v>87</v>
      </c>
      <c r="G1204" s="22">
        <v>185</v>
      </c>
      <c r="H1204" s="1" t="str">
        <f t="shared" si="17"/>
        <v>Fri</v>
      </c>
      <c r="I1204" s="8" t="s">
        <v>218</v>
      </c>
      <c r="J1204" s="1">
        <v>60</v>
      </c>
    </row>
    <row r="1205" spans="2:10" x14ac:dyDescent="0.2">
      <c r="B1205" s="4">
        <v>43729</v>
      </c>
      <c r="C1205" s="8" t="s">
        <v>1124</v>
      </c>
      <c r="D1205" s="1">
        <v>15</v>
      </c>
      <c r="E1205" s="9" t="s">
        <v>277</v>
      </c>
      <c r="F1205" s="22">
        <v>444</v>
      </c>
      <c r="G1205" s="22">
        <v>188</v>
      </c>
      <c r="H1205" s="1" t="str">
        <f t="shared" si="17"/>
        <v>Sat</v>
      </c>
      <c r="I1205" s="8" t="s">
        <v>218</v>
      </c>
      <c r="J1205" s="1">
        <v>60</v>
      </c>
    </row>
    <row r="1206" spans="2:10" x14ac:dyDescent="0.2">
      <c r="B1206" s="4">
        <v>43731</v>
      </c>
      <c r="C1206" s="8" t="s">
        <v>1135</v>
      </c>
      <c r="D1206" s="1">
        <v>3</v>
      </c>
      <c r="E1206" s="9" t="s">
        <v>244</v>
      </c>
      <c r="F1206" s="22">
        <v>126</v>
      </c>
      <c r="G1206" s="22">
        <v>185</v>
      </c>
      <c r="H1206" s="1" t="str">
        <f t="shared" si="17"/>
        <v>Mon</v>
      </c>
      <c r="I1206" s="8" t="s">
        <v>313</v>
      </c>
      <c r="J1206" s="1">
        <v>60</v>
      </c>
    </row>
    <row r="1207" spans="2:10" x14ac:dyDescent="0.2">
      <c r="B1207" s="4">
        <v>43732</v>
      </c>
      <c r="C1207" s="8" t="s">
        <v>1123</v>
      </c>
      <c r="D1207" s="1">
        <v>8</v>
      </c>
      <c r="E1207" s="9" t="s">
        <v>1087</v>
      </c>
      <c r="F1207" s="22">
        <v>214</v>
      </c>
      <c r="G1207" s="22">
        <v>188</v>
      </c>
      <c r="H1207" s="1" t="str">
        <f t="shared" si="17"/>
        <v>Tue</v>
      </c>
      <c r="I1207" s="8" t="s">
        <v>313</v>
      </c>
      <c r="J1207" s="1">
        <v>60</v>
      </c>
    </row>
    <row r="1208" spans="2:10" x14ac:dyDescent="0.2">
      <c r="B1208" s="4">
        <v>43733</v>
      </c>
      <c r="C1208" s="8" t="s">
        <v>1135</v>
      </c>
      <c r="D1208" s="1">
        <v>4</v>
      </c>
      <c r="E1208" s="9" t="s">
        <v>106</v>
      </c>
      <c r="F1208" s="22">
        <v>56</v>
      </c>
      <c r="G1208" s="22">
        <v>185</v>
      </c>
      <c r="H1208" s="1" t="str">
        <f t="shared" si="17"/>
        <v>Wed</v>
      </c>
      <c r="I1208" s="8" t="s">
        <v>313</v>
      </c>
      <c r="J1208" s="1">
        <v>60</v>
      </c>
    </row>
    <row r="1209" spans="2:10" x14ac:dyDescent="0.2">
      <c r="B1209" s="4">
        <v>43735</v>
      </c>
      <c r="C1209" s="8" t="s">
        <v>1124</v>
      </c>
      <c r="D1209" s="1">
        <v>6</v>
      </c>
      <c r="E1209" s="9" t="s">
        <v>65</v>
      </c>
      <c r="F1209" s="22">
        <v>251</v>
      </c>
      <c r="G1209" s="22">
        <v>185</v>
      </c>
      <c r="H1209" s="1" t="str">
        <f t="shared" si="17"/>
        <v>Fri</v>
      </c>
      <c r="I1209" s="8" t="s">
        <v>313</v>
      </c>
      <c r="J1209" s="1">
        <v>60</v>
      </c>
    </row>
    <row r="1210" spans="2:10" x14ac:dyDescent="0.2">
      <c r="B1210" s="4">
        <v>43736</v>
      </c>
      <c r="C1210" s="8" t="s">
        <v>1123</v>
      </c>
      <c r="D1210" s="1">
        <v>10</v>
      </c>
      <c r="E1210" s="9" t="s">
        <v>113</v>
      </c>
      <c r="F1210" s="22">
        <v>618</v>
      </c>
      <c r="G1210" s="22">
        <v>187</v>
      </c>
      <c r="H1210" s="1" t="str">
        <f t="shared" si="17"/>
        <v>Sat</v>
      </c>
      <c r="I1210" s="8" t="s">
        <v>313</v>
      </c>
      <c r="J1210" s="1">
        <v>60</v>
      </c>
    </row>
    <row r="1211" spans="2:10" x14ac:dyDescent="0.2">
      <c r="B1211" s="4">
        <v>43738</v>
      </c>
      <c r="C1211" s="8" t="s">
        <v>1135</v>
      </c>
      <c r="D1211" s="1">
        <v>8</v>
      </c>
      <c r="E1211" s="9" t="s">
        <v>115</v>
      </c>
      <c r="F1211" s="22">
        <v>206</v>
      </c>
      <c r="G1211" s="22">
        <v>186</v>
      </c>
      <c r="H1211" s="1" t="str">
        <f t="shared" si="17"/>
        <v>Mon</v>
      </c>
      <c r="I1211" s="8" t="s">
        <v>1093</v>
      </c>
      <c r="J1211" s="1">
        <v>60</v>
      </c>
    </row>
    <row r="1212" spans="2:10" x14ac:dyDescent="0.2">
      <c r="B1212" s="4">
        <v>43740</v>
      </c>
      <c r="C1212" s="8" t="s">
        <v>1124</v>
      </c>
      <c r="D1212" s="1">
        <v>6</v>
      </c>
      <c r="E1212" s="9" t="s">
        <v>225</v>
      </c>
      <c r="F1212" s="22">
        <v>272</v>
      </c>
      <c r="G1212" s="22">
        <v>184</v>
      </c>
      <c r="H1212" s="1" t="str">
        <f t="shared" si="17"/>
        <v>Wed</v>
      </c>
      <c r="I1212" s="8" t="s">
        <v>1093</v>
      </c>
      <c r="J1212" s="1">
        <v>60</v>
      </c>
    </row>
    <row r="1213" spans="2:10" x14ac:dyDescent="0.2">
      <c r="B1213" s="4">
        <v>43742</v>
      </c>
      <c r="C1213" s="8" t="s">
        <v>1123</v>
      </c>
      <c r="D1213" s="1">
        <v>8</v>
      </c>
      <c r="E1213" s="9" t="s">
        <v>62</v>
      </c>
      <c r="F1213" s="22">
        <v>225</v>
      </c>
      <c r="G1213" s="22">
        <v>186</v>
      </c>
      <c r="H1213" s="1" t="str">
        <f t="shared" si="17"/>
        <v>Fri</v>
      </c>
      <c r="I1213" s="8" t="s">
        <v>1093</v>
      </c>
      <c r="J1213" s="1">
        <v>60</v>
      </c>
    </row>
    <row r="1214" spans="2:10" x14ac:dyDescent="0.2">
      <c r="B1214" s="4">
        <v>43743</v>
      </c>
      <c r="C1214" s="8" t="s">
        <v>1124</v>
      </c>
      <c r="D1214" s="1">
        <v>10</v>
      </c>
      <c r="E1214" s="9" t="s">
        <v>62</v>
      </c>
      <c r="F1214" s="22">
        <v>689</v>
      </c>
      <c r="G1214" s="22">
        <v>186</v>
      </c>
      <c r="H1214" s="1" t="str">
        <f t="shared" si="17"/>
        <v>Sat</v>
      </c>
      <c r="I1214" s="8" t="s">
        <v>1093</v>
      </c>
      <c r="J1214" s="1">
        <v>60</v>
      </c>
    </row>
    <row r="1215" spans="2:10" x14ac:dyDescent="0.2">
      <c r="B1215" s="4">
        <v>43746</v>
      </c>
      <c r="C1215" s="8" t="s">
        <v>1135</v>
      </c>
      <c r="D1215" s="1">
        <v>10</v>
      </c>
      <c r="E1215" s="9" t="s">
        <v>114</v>
      </c>
      <c r="F1215" s="22">
        <v>431</v>
      </c>
      <c r="G1215" s="22">
        <v>185</v>
      </c>
      <c r="H1215" s="1" t="str">
        <f t="shared" si="17"/>
        <v>Tue</v>
      </c>
      <c r="I1215" s="8" t="s">
        <v>217</v>
      </c>
      <c r="J1215" s="1">
        <v>60</v>
      </c>
    </row>
    <row r="1216" spans="2:10" x14ac:dyDescent="0.2">
      <c r="B1216" s="4">
        <v>43748</v>
      </c>
      <c r="C1216" s="8" t="s">
        <v>1124</v>
      </c>
      <c r="D1216" s="1">
        <v>10</v>
      </c>
      <c r="E1216" s="9" t="s">
        <v>118</v>
      </c>
      <c r="F1216" s="22">
        <v>267</v>
      </c>
      <c r="G1216" s="22">
        <v>186</v>
      </c>
      <c r="H1216" s="1" t="str">
        <f t="shared" si="17"/>
        <v>Thu</v>
      </c>
      <c r="I1216" s="8" t="s">
        <v>217</v>
      </c>
      <c r="J1216" s="1">
        <v>60</v>
      </c>
    </row>
    <row r="1217" spans="2:10" x14ac:dyDescent="0.2">
      <c r="B1217" s="4">
        <v>43750</v>
      </c>
      <c r="C1217" s="8" t="s">
        <v>1123</v>
      </c>
      <c r="D1217" s="1">
        <v>15</v>
      </c>
      <c r="E1217" s="9" t="s">
        <v>124</v>
      </c>
      <c r="F1217" s="22">
        <v>336</v>
      </c>
      <c r="G1217" s="22">
        <v>187</v>
      </c>
      <c r="H1217" s="1" t="str">
        <f t="shared" si="17"/>
        <v>Sat</v>
      </c>
      <c r="I1217" s="8" t="s">
        <v>217</v>
      </c>
      <c r="J1217" s="1">
        <v>60</v>
      </c>
    </row>
    <row r="1218" spans="2:10" x14ac:dyDescent="0.2">
      <c r="B1218" s="4">
        <v>43753</v>
      </c>
      <c r="C1218" s="8" t="s">
        <v>1124</v>
      </c>
      <c r="D1218" s="1">
        <v>8</v>
      </c>
      <c r="E1218" s="9" t="s">
        <v>137</v>
      </c>
      <c r="F1218" s="22">
        <v>363</v>
      </c>
      <c r="G1218" s="22">
        <v>184</v>
      </c>
      <c r="H1218" s="1" t="str">
        <f t="shared" si="17"/>
        <v>Tue</v>
      </c>
      <c r="I1218" s="8" t="s">
        <v>313</v>
      </c>
      <c r="J1218" s="1">
        <v>60</v>
      </c>
    </row>
    <row r="1219" spans="2:10" x14ac:dyDescent="0.2">
      <c r="B1219" s="4">
        <v>43760</v>
      </c>
      <c r="C1219" s="8" t="s">
        <v>1123</v>
      </c>
      <c r="D1219" s="1">
        <v>10</v>
      </c>
      <c r="E1219" s="9" t="s">
        <v>118</v>
      </c>
      <c r="F1219" s="22">
        <v>411</v>
      </c>
      <c r="G1219" s="22">
        <v>184</v>
      </c>
      <c r="H1219" s="1" t="str">
        <f t="shared" si="17"/>
        <v>Tue</v>
      </c>
      <c r="I1219" s="8" t="s">
        <v>217</v>
      </c>
      <c r="J1219" s="1">
        <v>60</v>
      </c>
    </row>
    <row r="1220" spans="2:10" x14ac:dyDescent="0.2">
      <c r="B1220" s="4">
        <v>43762</v>
      </c>
      <c r="C1220" s="8" t="s">
        <v>1136</v>
      </c>
      <c r="D1220" s="1">
        <v>8</v>
      </c>
      <c r="E1220" s="9" t="s">
        <v>139</v>
      </c>
      <c r="F1220" s="22">
        <v>193</v>
      </c>
      <c r="G1220" s="22">
        <v>187</v>
      </c>
      <c r="H1220" s="1" t="str">
        <f t="shared" si="17"/>
        <v>Thu</v>
      </c>
      <c r="I1220" s="8" t="s">
        <v>217</v>
      </c>
      <c r="J1220" s="1">
        <v>60</v>
      </c>
    </row>
    <row r="1221" spans="2:10" x14ac:dyDescent="0.2">
      <c r="B1221" s="4">
        <v>43764</v>
      </c>
      <c r="C1221" s="8" t="s">
        <v>1124</v>
      </c>
      <c r="D1221" s="1">
        <v>12</v>
      </c>
      <c r="E1221" s="9" t="s">
        <v>261</v>
      </c>
      <c r="F1221" s="22">
        <v>217</v>
      </c>
      <c r="G1221" s="22">
        <v>186</v>
      </c>
      <c r="H1221" s="1" t="str">
        <f t="shared" si="17"/>
        <v>Sat</v>
      </c>
      <c r="I1221" s="8" t="s">
        <v>217</v>
      </c>
      <c r="J1221" s="1">
        <v>60</v>
      </c>
    </row>
    <row r="1222" spans="2:10" x14ac:dyDescent="0.2">
      <c r="B1222" s="4">
        <v>43767</v>
      </c>
      <c r="C1222" s="8" t="s">
        <v>1123</v>
      </c>
      <c r="D1222" s="1">
        <v>10</v>
      </c>
      <c r="E1222" s="9" t="s">
        <v>103</v>
      </c>
      <c r="F1222" s="22">
        <v>433</v>
      </c>
      <c r="G1222" s="22">
        <v>184</v>
      </c>
      <c r="H1222" s="1" t="str">
        <f t="shared" si="17"/>
        <v>Tue</v>
      </c>
      <c r="I1222" s="8" t="s">
        <v>313</v>
      </c>
      <c r="J1222" s="1">
        <v>60</v>
      </c>
    </row>
    <row r="1223" spans="2:10" x14ac:dyDescent="0.2">
      <c r="B1223" s="4">
        <v>43771</v>
      </c>
      <c r="C1223" s="8" t="s">
        <v>1136</v>
      </c>
      <c r="D1223" s="1">
        <v>12</v>
      </c>
      <c r="E1223" s="9" t="s">
        <v>278</v>
      </c>
      <c r="F1223" s="22">
        <v>264</v>
      </c>
      <c r="G1223" s="22">
        <v>185</v>
      </c>
      <c r="H1223" s="1" t="str">
        <f t="shared" si="17"/>
        <v>Sat</v>
      </c>
      <c r="I1223" s="8" t="s">
        <v>313</v>
      </c>
      <c r="J1223" s="1">
        <v>60</v>
      </c>
    </row>
    <row r="1224" spans="2:10" x14ac:dyDescent="0.2">
      <c r="B1224" s="4">
        <v>43774</v>
      </c>
      <c r="C1224" s="8" t="s">
        <v>1124</v>
      </c>
      <c r="D1224" s="1">
        <v>8</v>
      </c>
      <c r="E1224" s="9" t="s">
        <v>18</v>
      </c>
      <c r="F1224" s="22">
        <v>348</v>
      </c>
      <c r="G1224" s="22">
        <v>187</v>
      </c>
      <c r="H1224" s="1" t="str">
        <f t="shared" si="17"/>
        <v>Tue</v>
      </c>
      <c r="I1224" s="8" t="s">
        <v>217</v>
      </c>
      <c r="J1224" s="1">
        <v>60</v>
      </c>
    </row>
    <row r="1225" spans="2:10" x14ac:dyDescent="0.2">
      <c r="B1225" s="4">
        <v>43776</v>
      </c>
      <c r="C1225" s="8" t="s">
        <v>1136</v>
      </c>
      <c r="D1225" s="1">
        <v>10</v>
      </c>
      <c r="E1225" s="9" t="s">
        <v>26</v>
      </c>
      <c r="F1225" s="22">
        <v>239</v>
      </c>
      <c r="G1225" s="22">
        <v>188</v>
      </c>
      <c r="H1225" s="1" t="str">
        <f t="shared" si="17"/>
        <v>Thu</v>
      </c>
      <c r="I1225" s="8" t="s">
        <v>217</v>
      </c>
      <c r="J1225" s="1">
        <v>70</v>
      </c>
    </row>
    <row r="1226" spans="2:10" x14ac:dyDescent="0.2">
      <c r="B1226" s="4">
        <v>43778</v>
      </c>
      <c r="C1226" s="8" t="s">
        <v>1124</v>
      </c>
      <c r="D1226" s="1">
        <v>12</v>
      </c>
      <c r="E1226" s="9" t="s">
        <v>64</v>
      </c>
      <c r="F1226" s="22">
        <v>862</v>
      </c>
      <c r="G1226" s="22">
        <v>191</v>
      </c>
      <c r="H1226" s="1" t="str">
        <f t="shared" si="17"/>
        <v>Sat</v>
      </c>
      <c r="I1226" s="8" t="s">
        <v>217</v>
      </c>
      <c r="J1226" s="1">
        <v>65</v>
      </c>
    </row>
    <row r="1227" spans="2:10" x14ac:dyDescent="0.2">
      <c r="B1227" s="4">
        <v>43783</v>
      </c>
      <c r="C1227" s="8" t="s">
        <v>1136</v>
      </c>
      <c r="D1227" s="1">
        <v>10</v>
      </c>
      <c r="E1227" s="9" t="s">
        <v>26</v>
      </c>
      <c r="F1227" s="22">
        <v>227</v>
      </c>
      <c r="G1227" s="22">
        <v>188</v>
      </c>
      <c r="H1227" s="1" t="str">
        <f t="shared" si="17"/>
        <v>Thu</v>
      </c>
      <c r="I1227" s="8" t="s">
        <v>313</v>
      </c>
      <c r="J1227" s="1">
        <v>60</v>
      </c>
    </row>
    <row r="1228" spans="2:10" x14ac:dyDescent="0.2">
      <c r="B1228" s="4">
        <v>43785</v>
      </c>
      <c r="C1228" s="8" t="s">
        <v>1124</v>
      </c>
      <c r="D1228" s="1">
        <v>12</v>
      </c>
      <c r="E1228" s="9" t="s">
        <v>26</v>
      </c>
      <c r="F1228" s="22">
        <v>837</v>
      </c>
      <c r="G1228" s="22">
        <v>191</v>
      </c>
      <c r="H1228" s="1" t="str">
        <f t="shared" si="17"/>
        <v>Sat</v>
      </c>
      <c r="I1228" s="8" t="s">
        <v>313</v>
      </c>
      <c r="J1228" s="1">
        <v>70</v>
      </c>
    </row>
    <row r="1229" spans="2:10" x14ac:dyDescent="0.2">
      <c r="B1229" s="4">
        <v>43788</v>
      </c>
      <c r="C1229" s="8" t="s">
        <v>1136</v>
      </c>
      <c r="D1229" s="1">
        <v>6</v>
      </c>
      <c r="E1229" s="9" t="s">
        <v>28</v>
      </c>
      <c r="F1229" s="22">
        <v>223</v>
      </c>
      <c r="G1229" s="22">
        <v>186</v>
      </c>
      <c r="H1229" s="1" t="str">
        <f t="shared" si="17"/>
        <v>Tue</v>
      </c>
      <c r="I1229" s="8" t="s">
        <v>1093</v>
      </c>
      <c r="J1229" s="1">
        <v>60</v>
      </c>
    </row>
    <row r="1230" spans="2:10" x14ac:dyDescent="0.2">
      <c r="B1230" s="4">
        <v>43790</v>
      </c>
      <c r="C1230" s="8" t="s">
        <v>1124</v>
      </c>
      <c r="D1230" s="1">
        <v>10</v>
      </c>
      <c r="E1230" s="9" t="s">
        <v>261</v>
      </c>
      <c r="F1230" s="22">
        <v>282</v>
      </c>
      <c r="G1230" s="22">
        <v>186</v>
      </c>
      <c r="H1230" s="1" t="str">
        <f t="shared" si="17"/>
        <v>Thu</v>
      </c>
      <c r="I1230" s="8" t="s">
        <v>1093</v>
      </c>
      <c r="J1230" s="1">
        <v>60</v>
      </c>
    </row>
    <row r="1231" spans="2:10" x14ac:dyDescent="0.2">
      <c r="B1231" s="4">
        <v>43792</v>
      </c>
      <c r="C1231" s="8" t="s">
        <v>1136</v>
      </c>
      <c r="D1231" s="1">
        <v>8</v>
      </c>
      <c r="E1231" s="9" t="s">
        <v>98</v>
      </c>
      <c r="F1231" s="22">
        <v>303</v>
      </c>
      <c r="G1231" s="22">
        <v>187</v>
      </c>
      <c r="H1231" s="1" t="str">
        <f t="shared" si="17"/>
        <v>Sat</v>
      </c>
      <c r="I1231" s="8" t="s">
        <v>1093</v>
      </c>
      <c r="J1231" s="1">
        <v>60</v>
      </c>
    </row>
    <row r="1232" spans="2:10" x14ac:dyDescent="0.2">
      <c r="B1232" s="4">
        <v>43794</v>
      </c>
      <c r="C1232" s="8" t="s">
        <v>1124</v>
      </c>
      <c r="D1232" s="1">
        <v>10</v>
      </c>
      <c r="E1232" s="9" t="s">
        <v>18</v>
      </c>
      <c r="F1232" s="22">
        <v>243</v>
      </c>
      <c r="G1232" s="22">
        <v>190</v>
      </c>
      <c r="H1232" s="1" t="str">
        <f t="shared" si="17"/>
        <v>Mon</v>
      </c>
      <c r="I1232" s="8" t="s">
        <v>217</v>
      </c>
      <c r="J1232" s="1">
        <v>60</v>
      </c>
    </row>
    <row r="1233" spans="2:10" x14ac:dyDescent="0.2">
      <c r="B1233" s="4">
        <v>43796</v>
      </c>
      <c r="C1233" s="8" t="s">
        <v>1136</v>
      </c>
      <c r="D1233" s="1">
        <v>10</v>
      </c>
      <c r="E1233" s="9" t="s">
        <v>255</v>
      </c>
      <c r="F1233" s="22">
        <v>427</v>
      </c>
      <c r="G1233" s="22">
        <v>185</v>
      </c>
      <c r="H1233" s="1" t="str">
        <f t="shared" si="17"/>
        <v>Wed</v>
      </c>
      <c r="I1233" s="8" t="s">
        <v>217</v>
      </c>
      <c r="J1233" s="1">
        <v>60</v>
      </c>
    </row>
    <row r="1234" spans="2:10" x14ac:dyDescent="0.2">
      <c r="B1234" s="4">
        <v>43798</v>
      </c>
      <c r="C1234" s="8" t="s">
        <v>1139</v>
      </c>
      <c r="D1234" s="1">
        <v>10</v>
      </c>
      <c r="E1234" s="9" t="s">
        <v>66</v>
      </c>
      <c r="F1234" s="22">
        <v>286</v>
      </c>
      <c r="G1234" s="22">
        <v>188</v>
      </c>
      <c r="H1234" s="1" t="str">
        <f t="shared" si="17"/>
        <v>Fri</v>
      </c>
      <c r="I1234" s="8" t="s">
        <v>217</v>
      </c>
      <c r="J1234" s="1">
        <v>60</v>
      </c>
    </row>
    <row r="1235" spans="2:10" x14ac:dyDescent="0.2">
      <c r="B1235" s="4">
        <v>43799</v>
      </c>
      <c r="C1235" s="8" t="s">
        <v>1124</v>
      </c>
      <c r="D1235" s="1">
        <v>13</v>
      </c>
      <c r="E1235" s="9" t="s">
        <v>66</v>
      </c>
      <c r="F1235" s="22">
        <v>286</v>
      </c>
      <c r="G1235" s="22">
        <v>188</v>
      </c>
      <c r="H1235" s="1" t="str">
        <f t="shared" si="17"/>
        <v>Sat</v>
      </c>
      <c r="I1235" s="8" t="s">
        <v>217</v>
      </c>
      <c r="J1235" s="1">
        <v>60</v>
      </c>
    </row>
    <row r="1236" spans="2:10" x14ac:dyDescent="0.2">
      <c r="B1236" s="4">
        <v>43801</v>
      </c>
      <c r="C1236" s="8" t="s">
        <v>1136</v>
      </c>
      <c r="D1236" s="1">
        <v>9</v>
      </c>
      <c r="E1236" s="9" t="s">
        <v>99</v>
      </c>
      <c r="F1236" s="22">
        <v>225</v>
      </c>
      <c r="G1236" s="22">
        <v>188</v>
      </c>
      <c r="H1236" s="1" t="str">
        <f t="shared" si="17"/>
        <v>Mon</v>
      </c>
      <c r="I1236" s="8" t="s">
        <v>313</v>
      </c>
      <c r="J1236" s="1">
        <v>60</v>
      </c>
    </row>
    <row r="1237" spans="2:10" x14ac:dyDescent="0.2">
      <c r="B1237" s="4">
        <v>43803</v>
      </c>
      <c r="C1237" s="8" t="s">
        <v>1124</v>
      </c>
      <c r="D1237" s="1">
        <v>5</v>
      </c>
      <c r="E1237" s="9" t="s">
        <v>122</v>
      </c>
      <c r="F1237" s="22">
        <v>91</v>
      </c>
      <c r="G1237" s="22">
        <v>187</v>
      </c>
      <c r="H1237" s="1" t="str">
        <f t="shared" si="17"/>
        <v>Wed</v>
      </c>
      <c r="I1237" s="8" t="s">
        <v>313</v>
      </c>
      <c r="J1237" s="1">
        <v>60</v>
      </c>
    </row>
    <row r="1238" spans="2:10" x14ac:dyDescent="0.2">
      <c r="B1238" s="4">
        <v>43806</v>
      </c>
      <c r="C1238" s="8" t="s">
        <v>1136</v>
      </c>
      <c r="D1238" s="1">
        <v>7</v>
      </c>
      <c r="E1238" s="9" t="s">
        <v>18</v>
      </c>
      <c r="F1238" s="22">
        <v>319</v>
      </c>
      <c r="G1238" s="22">
        <v>187</v>
      </c>
      <c r="H1238" s="1" t="str">
        <f t="shared" si="17"/>
        <v>Sat</v>
      </c>
      <c r="I1238" s="8" t="s">
        <v>313</v>
      </c>
      <c r="J1238" s="1">
        <v>60</v>
      </c>
    </row>
    <row r="1239" spans="2:10" x14ac:dyDescent="0.2">
      <c r="B1239" s="4">
        <v>43808</v>
      </c>
      <c r="C1239" s="8" t="s">
        <v>1124</v>
      </c>
      <c r="D1239" s="1">
        <v>10</v>
      </c>
      <c r="E1239" s="9" t="s">
        <v>98</v>
      </c>
      <c r="F1239" s="22">
        <v>226</v>
      </c>
      <c r="G1239" s="22">
        <v>185</v>
      </c>
      <c r="H1239" s="1" t="str">
        <f t="shared" si="17"/>
        <v>Mon</v>
      </c>
      <c r="I1239" s="8" t="s">
        <v>1093</v>
      </c>
      <c r="J1239" s="1">
        <v>60</v>
      </c>
    </row>
    <row r="1240" spans="2:10" x14ac:dyDescent="0.2">
      <c r="B1240" s="4">
        <v>43810</v>
      </c>
      <c r="C1240" s="8" t="s">
        <v>1136</v>
      </c>
      <c r="D1240" s="1">
        <v>8</v>
      </c>
      <c r="E1240" s="9" t="s">
        <v>261</v>
      </c>
      <c r="F1240" s="22">
        <v>371</v>
      </c>
      <c r="G1240" s="22">
        <v>186</v>
      </c>
      <c r="H1240" s="1" t="str">
        <f t="shared" si="17"/>
        <v>Wed</v>
      </c>
      <c r="I1240" s="8" t="s">
        <v>1093</v>
      </c>
      <c r="J1240" s="1">
        <v>60</v>
      </c>
    </row>
    <row r="1241" spans="2:10" x14ac:dyDescent="0.2">
      <c r="B1241" s="4">
        <v>43815</v>
      </c>
      <c r="C1241" s="8" t="s">
        <v>1124</v>
      </c>
      <c r="D1241" s="1">
        <v>10</v>
      </c>
      <c r="E1241" s="9" t="s">
        <v>68</v>
      </c>
      <c r="F1241" s="22">
        <v>300</v>
      </c>
      <c r="G1241" s="22">
        <v>185</v>
      </c>
      <c r="H1241" s="1" t="str">
        <f t="shared" si="17"/>
        <v>Mon</v>
      </c>
      <c r="I1241" s="8" t="s">
        <v>1096</v>
      </c>
      <c r="J1241" s="1">
        <v>60</v>
      </c>
    </row>
    <row r="1242" spans="2:10" x14ac:dyDescent="0.2">
      <c r="B1242" s="4">
        <v>43817</v>
      </c>
      <c r="C1242" s="8" t="s">
        <v>1136</v>
      </c>
      <c r="D1242" s="1">
        <v>8</v>
      </c>
      <c r="E1242" s="9" t="s">
        <v>61</v>
      </c>
      <c r="F1242" s="22">
        <v>352</v>
      </c>
      <c r="G1242" s="22">
        <v>187</v>
      </c>
      <c r="H1242" s="1" t="str">
        <f t="shared" si="17"/>
        <v>Wed</v>
      </c>
      <c r="I1242" s="8" t="s">
        <v>1096</v>
      </c>
      <c r="J1242" s="1">
        <v>60</v>
      </c>
    </row>
    <row r="1243" spans="2:10" x14ac:dyDescent="0.2">
      <c r="B1243" s="4">
        <v>43819</v>
      </c>
      <c r="C1243" s="8" t="s">
        <v>1139</v>
      </c>
      <c r="D1243" s="1">
        <v>6</v>
      </c>
      <c r="E1243" s="9" t="s">
        <v>15</v>
      </c>
      <c r="F1243" s="22">
        <v>88</v>
      </c>
      <c r="G1243" s="22">
        <v>185</v>
      </c>
      <c r="H1243" s="1" t="str">
        <f t="shared" si="17"/>
        <v>Fri</v>
      </c>
      <c r="I1243" s="8" t="s">
        <v>1096</v>
      </c>
      <c r="J1243" s="1">
        <v>75</v>
      </c>
    </row>
    <row r="1244" spans="2:10" x14ac:dyDescent="0.2">
      <c r="B1244" s="4">
        <v>43824</v>
      </c>
      <c r="C1244" s="8" t="s">
        <v>1136</v>
      </c>
      <c r="D1244" s="1">
        <v>10</v>
      </c>
      <c r="E1244" s="9" t="s">
        <v>54</v>
      </c>
      <c r="F1244" s="22">
        <v>243</v>
      </c>
      <c r="G1244" s="22">
        <v>185</v>
      </c>
      <c r="H1244" s="1" t="str">
        <f t="shared" si="17"/>
        <v>Wed</v>
      </c>
      <c r="I1244" s="8" t="s">
        <v>217</v>
      </c>
      <c r="J1244" s="1">
        <v>60</v>
      </c>
    </row>
    <row r="1245" spans="2:10" x14ac:dyDescent="0.2">
      <c r="B1245" s="4">
        <v>43826</v>
      </c>
      <c r="C1245" s="8" t="s">
        <v>1139</v>
      </c>
      <c r="D1245" s="1">
        <v>10</v>
      </c>
      <c r="E1245" s="9" t="s">
        <v>139</v>
      </c>
      <c r="F1245" s="22">
        <v>275</v>
      </c>
      <c r="G1245" s="22">
        <v>182</v>
      </c>
      <c r="H1245" s="1" t="str">
        <f t="shared" si="17"/>
        <v>Fri</v>
      </c>
      <c r="I1245" s="8" t="s">
        <v>217</v>
      </c>
      <c r="J1245" s="1">
        <v>60</v>
      </c>
    </row>
    <row r="1246" spans="2:10" x14ac:dyDescent="0.2">
      <c r="B1246" s="4">
        <v>43827</v>
      </c>
      <c r="C1246" s="8" t="s">
        <v>1136</v>
      </c>
      <c r="D1246" s="1">
        <v>12</v>
      </c>
      <c r="E1246" s="9" t="s">
        <v>260</v>
      </c>
      <c r="F1246" s="22">
        <v>840</v>
      </c>
      <c r="G1246" s="22">
        <v>186</v>
      </c>
      <c r="H1246" s="1" t="str">
        <f t="shared" si="17"/>
        <v>Sat</v>
      </c>
      <c r="I1246" s="8" t="s">
        <v>217</v>
      </c>
      <c r="J1246" s="1">
        <v>60</v>
      </c>
    </row>
    <row r="1247" spans="2:10" x14ac:dyDescent="0.2">
      <c r="B1247" s="4">
        <v>43829</v>
      </c>
      <c r="C1247" s="8" t="s">
        <v>1139</v>
      </c>
      <c r="D1247" s="1">
        <v>10</v>
      </c>
      <c r="E1247" s="9" t="s">
        <v>98</v>
      </c>
      <c r="F1247" s="22">
        <v>606</v>
      </c>
      <c r="G1247" s="22">
        <v>181</v>
      </c>
      <c r="H1247" s="1" t="str">
        <f t="shared" si="17"/>
        <v>Mon</v>
      </c>
      <c r="I1247" s="8" t="s">
        <v>313</v>
      </c>
      <c r="J1247" s="1">
        <v>60</v>
      </c>
    </row>
    <row r="1248" spans="2:10" x14ac:dyDescent="0.2">
      <c r="B1248" s="4">
        <v>43830</v>
      </c>
      <c r="C1248" s="8" t="s">
        <v>1136</v>
      </c>
      <c r="D1248" s="1">
        <v>9</v>
      </c>
      <c r="E1248" s="9" t="s">
        <v>20</v>
      </c>
      <c r="F1248" s="22">
        <v>225</v>
      </c>
      <c r="G1248" s="22">
        <v>187</v>
      </c>
      <c r="H1248" s="1" t="str">
        <f t="shared" si="17"/>
        <v>Tue</v>
      </c>
      <c r="I1248" s="8" t="s">
        <v>313</v>
      </c>
      <c r="J1248" s="1">
        <v>60</v>
      </c>
    </row>
    <row r="1249" spans="2:10" x14ac:dyDescent="0.2">
      <c r="B1249" s="35">
        <v>43836</v>
      </c>
      <c r="C1249" s="8" t="s">
        <v>1136</v>
      </c>
      <c r="D1249" s="1">
        <v>10</v>
      </c>
      <c r="E1249" s="9" t="s">
        <v>107</v>
      </c>
      <c r="F1249" s="22">
        <v>255</v>
      </c>
      <c r="G1249" s="22">
        <v>188</v>
      </c>
      <c r="H1249" s="1" t="str">
        <f t="shared" si="17"/>
        <v>Mon</v>
      </c>
      <c r="I1249" s="8" t="s">
        <v>217</v>
      </c>
      <c r="J1249" s="1">
        <v>60</v>
      </c>
    </row>
    <row r="1250" spans="2:10" x14ac:dyDescent="0.2">
      <c r="B1250" s="35">
        <v>43838</v>
      </c>
      <c r="C1250" s="8" t="s">
        <v>1139</v>
      </c>
      <c r="D1250" s="1">
        <v>10</v>
      </c>
      <c r="E1250" s="9" t="s">
        <v>68</v>
      </c>
      <c r="F1250" s="22">
        <v>429</v>
      </c>
      <c r="G1250" s="22">
        <v>185</v>
      </c>
      <c r="H1250" s="1" t="str">
        <f t="shared" ref="H1250:H1251" si="18">TEXT(B1250,"ddd")</f>
        <v>Wed</v>
      </c>
      <c r="I1250" s="8" t="s">
        <v>217</v>
      </c>
      <c r="J1250" s="1">
        <v>60</v>
      </c>
    </row>
    <row r="1251" spans="2:10" x14ac:dyDescent="0.2">
      <c r="B1251" s="4">
        <v>43840</v>
      </c>
      <c r="C1251" s="8" t="s">
        <v>1136</v>
      </c>
      <c r="D1251" s="1">
        <v>10</v>
      </c>
      <c r="E1251" s="9" t="s">
        <v>97</v>
      </c>
      <c r="F1251" s="22">
        <v>256</v>
      </c>
      <c r="G1251" s="22">
        <v>185</v>
      </c>
      <c r="H1251" s="1" t="str">
        <f t="shared" si="18"/>
        <v>Fri</v>
      </c>
      <c r="I1251" s="8" t="s">
        <v>217</v>
      </c>
      <c r="J1251" s="1">
        <v>60</v>
      </c>
    </row>
    <row r="1252" spans="2:10" x14ac:dyDescent="0.2">
      <c r="B1252" s="4">
        <v>43841</v>
      </c>
      <c r="C1252" s="8" t="s">
        <v>1139</v>
      </c>
      <c r="D1252" s="1">
        <v>13</v>
      </c>
      <c r="E1252" s="9" t="s">
        <v>51</v>
      </c>
      <c r="F1252" s="22">
        <v>225</v>
      </c>
      <c r="G1252" s="22">
        <v>184</v>
      </c>
      <c r="H1252" s="1" t="str">
        <f t="shared" ref="H1252:H1253" si="19">TEXT(B1252,"ddd")</f>
        <v>Sat</v>
      </c>
      <c r="I1252" s="8" t="s">
        <v>217</v>
      </c>
      <c r="J1252" s="1">
        <v>60</v>
      </c>
    </row>
    <row r="1253" spans="2:10" x14ac:dyDescent="0.2">
      <c r="B1253" s="4">
        <v>43843</v>
      </c>
      <c r="C1253" s="8" t="s">
        <v>1139</v>
      </c>
      <c r="D1253" s="1">
        <v>10</v>
      </c>
      <c r="E1253" s="9" t="s">
        <v>64</v>
      </c>
      <c r="F1253" s="22">
        <v>247</v>
      </c>
      <c r="G1253" s="22">
        <v>188</v>
      </c>
      <c r="H1253" s="1" t="str">
        <f t="shared" si="19"/>
        <v>Mon</v>
      </c>
      <c r="I1253" s="8" t="s">
        <v>218</v>
      </c>
      <c r="J1253" s="1">
        <v>60</v>
      </c>
    </row>
    <row r="1254" spans="2:10" x14ac:dyDescent="0.2">
      <c r="B1254" s="4">
        <v>43845</v>
      </c>
      <c r="C1254" s="8" t="s">
        <v>1136</v>
      </c>
      <c r="D1254" s="1">
        <v>10</v>
      </c>
      <c r="E1254" s="9" t="s">
        <v>18</v>
      </c>
      <c r="F1254" s="22">
        <v>424</v>
      </c>
      <c r="G1254" s="22">
        <v>183</v>
      </c>
      <c r="H1254" s="1" t="str">
        <f t="shared" ref="H1254:H1270" si="20">TEXT(B1254,"ddd")</f>
        <v>Wed</v>
      </c>
      <c r="I1254" s="8" t="s">
        <v>218</v>
      </c>
      <c r="J1254" s="1">
        <v>60</v>
      </c>
    </row>
    <row r="1255" spans="2:10" x14ac:dyDescent="0.2">
      <c r="B1255" s="4">
        <v>43847</v>
      </c>
      <c r="C1255" s="8" t="s">
        <v>1139</v>
      </c>
      <c r="D1255" s="1">
        <v>10</v>
      </c>
      <c r="E1255" s="9" t="s">
        <v>68</v>
      </c>
      <c r="F1255" s="22">
        <v>264</v>
      </c>
      <c r="G1255" s="22">
        <v>185</v>
      </c>
      <c r="H1255" s="1" t="str">
        <f t="shared" si="20"/>
        <v>Fri</v>
      </c>
      <c r="I1255" s="8" t="s">
        <v>218</v>
      </c>
      <c r="J1255" s="1">
        <v>60</v>
      </c>
    </row>
    <row r="1256" spans="2:10" x14ac:dyDescent="0.2">
      <c r="B1256" s="4">
        <v>43848</v>
      </c>
      <c r="C1256" s="8" t="s">
        <v>1136</v>
      </c>
      <c r="D1256" s="1">
        <v>13</v>
      </c>
      <c r="E1256" s="9" t="s">
        <v>54</v>
      </c>
      <c r="F1256" s="22">
        <v>257</v>
      </c>
      <c r="G1256" s="22">
        <v>185</v>
      </c>
      <c r="H1256" s="1" t="str">
        <f t="shared" si="20"/>
        <v>Sat</v>
      </c>
      <c r="I1256" s="8" t="s">
        <v>218</v>
      </c>
      <c r="J1256" s="1">
        <v>60</v>
      </c>
    </row>
    <row r="1257" spans="2:10" x14ac:dyDescent="0.2">
      <c r="B1257" s="4">
        <v>43851</v>
      </c>
      <c r="C1257" s="8" t="s">
        <v>1136</v>
      </c>
      <c r="D1257" s="1">
        <v>7</v>
      </c>
      <c r="E1257" s="9" t="s">
        <v>277</v>
      </c>
      <c r="F1257" s="22">
        <v>163</v>
      </c>
      <c r="G1257" s="22">
        <v>186</v>
      </c>
      <c r="H1257" s="1" t="str">
        <f t="shared" si="20"/>
        <v>Tue</v>
      </c>
      <c r="I1257" s="8" t="s">
        <v>313</v>
      </c>
      <c r="J1257" s="1">
        <v>60</v>
      </c>
    </row>
    <row r="1258" spans="2:10" x14ac:dyDescent="0.2">
      <c r="B1258" s="4">
        <v>43852</v>
      </c>
      <c r="C1258" s="8" t="s">
        <v>1139</v>
      </c>
      <c r="D1258" s="1">
        <v>7</v>
      </c>
      <c r="E1258" s="9" t="s">
        <v>45</v>
      </c>
      <c r="F1258" s="22">
        <v>349</v>
      </c>
      <c r="G1258" s="22">
        <v>186</v>
      </c>
      <c r="H1258" s="1" t="str">
        <f t="shared" si="20"/>
        <v>Wed</v>
      </c>
      <c r="I1258" s="8" t="s">
        <v>313</v>
      </c>
      <c r="J1258" s="1">
        <v>60</v>
      </c>
    </row>
    <row r="1259" spans="2:10" x14ac:dyDescent="0.2">
      <c r="B1259" s="4">
        <v>43857</v>
      </c>
      <c r="C1259" s="8" t="s">
        <v>1139</v>
      </c>
      <c r="D1259" s="1">
        <v>10</v>
      </c>
      <c r="E1259" s="9" t="s">
        <v>258</v>
      </c>
      <c r="F1259" s="22">
        <v>234</v>
      </c>
      <c r="G1259" s="22">
        <v>183</v>
      </c>
      <c r="H1259" s="1" t="str">
        <f t="shared" si="20"/>
        <v>Mon</v>
      </c>
      <c r="I1259" s="8" t="s">
        <v>217</v>
      </c>
      <c r="J1259" s="1">
        <v>60</v>
      </c>
    </row>
    <row r="1260" spans="2:10" x14ac:dyDescent="0.2">
      <c r="B1260" s="4">
        <v>43859</v>
      </c>
      <c r="C1260" s="8" t="s">
        <v>1136</v>
      </c>
      <c r="D1260" s="1">
        <v>10</v>
      </c>
      <c r="E1260" s="9" t="s">
        <v>54</v>
      </c>
      <c r="F1260" s="22">
        <v>446</v>
      </c>
      <c r="G1260" s="22">
        <v>187</v>
      </c>
      <c r="H1260" s="1" t="str">
        <f t="shared" si="20"/>
        <v>Wed</v>
      </c>
      <c r="I1260" s="8" t="s">
        <v>217</v>
      </c>
      <c r="J1260" s="1">
        <v>60</v>
      </c>
    </row>
    <row r="1261" spans="2:10" x14ac:dyDescent="0.2">
      <c r="B1261" s="4">
        <v>43862</v>
      </c>
      <c r="C1261" s="8" t="s">
        <v>1139</v>
      </c>
      <c r="D1261" s="1">
        <v>11</v>
      </c>
      <c r="E1261" s="9" t="s">
        <v>66</v>
      </c>
      <c r="F1261" s="22">
        <v>972</v>
      </c>
      <c r="G1261" s="22">
        <v>185</v>
      </c>
      <c r="H1261" s="1" t="str">
        <f t="shared" si="20"/>
        <v>Sat</v>
      </c>
      <c r="I1261" s="8" t="s">
        <v>217</v>
      </c>
      <c r="J1261" s="1">
        <v>60</v>
      </c>
    </row>
    <row r="1262" spans="2:10" x14ac:dyDescent="0.2">
      <c r="B1262" s="4">
        <v>43864</v>
      </c>
      <c r="C1262" s="8" t="s">
        <v>1139</v>
      </c>
      <c r="D1262" s="1">
        <v>10</v>
      </c>
      <c r="E1262" s="9" t="s">
        <v>139</v>
      </c>
      <c r="F1262" s="22">
        <v>254</v>
      </c>
      <c r="G1262" s="22">
        <v>185</v>
      </c>
      <c r="H1262" s="1" t="str">
        <f t="shared" si="20"/>
        <v>Mon</v>
      </c>
      <c r="I1262" s="8" t="s">
        <v>313</v>
      </c>
      <c r="J1262" s="1">
        <v>60</v>
      </c>
    </row>
    <row r="1263" spans="2:10" x14ac:dyDescent="0.2">
      <c r="B1263" s="4">
        <v>43866</v>
      </c>
      <c r="C1263" s="8" t="s">
        <v>1136</v>
      </c>
      <c r="D1263" s="1">
        <v>10</v>
      </c>
      <c r="E1263" s="9" t="s">
        <v>121</v>
      </c>
      <c r="F1263" s="22">
        <v>441</v>
      </c>
      <c r="G1263" s="22">
        <v>186</v>
      </c>
      <c r="H1263" s="1" t="str">
        <f t="shared" si="20"/>
        <v>Wed</v>
      </c>
      <c r="I1263" s="8" t="s">
        <v>313</v>
      </c>
      <c r="J1263" s="1">
        <v>60</v>
      </c>
    </row>
    <row r="1264" spans="2:10" x14ac:dyDescent="0.2">
      <c r="B1264" s="4">
        <v>43868</v>
      </c>
      <c r="C1264" s="8" t="s">
        <v>1139</v>
      </c>
      <c r="D1264" s="1">
        <v>10</v>
      </c>
      <c r="E1264" s="9" t="s">
        <v>11</v>
      </c>
      <c r="F1264" s="22">
        <v>240</v>
      </c>
      <c r="G1264" s="22">
        <v>188</v>
      </c>
      <c r="H1264" s="1" t="str">
        <f t="shared" si="20"/>
        <v>Fri</v>
      </c>
      <c r="I1264" s="8" t="s">
        <v>313</v>
      </c>
      <c r="J1264" s="1">
        <v>60</v>
      </c>
    </row>
    <row r="1265" spans="2:10" x14ac:dyDescent="0.2">
      <c r="B1265" s="4">
        <v>43872</v>
      </c>
      <c r="C1265" s="8" t="s">
        <v>1136</v>
      </c>
      <c r="D1265" s="1">
        <v>10</v>
      </c>
      <c r="E1265" s="9" t="s">
        <v>64</v>
      </c>
      <c r="F1265" s="22">
        <v>256</v>
      </c>
      <c r="G1265" s="22">
        <v>188</v>
      </c>
      <c r="H1265" s="1" t="str">
        <f t="shared" si="20"/>
        <v>Tue</v>
      </c>
      <c r="I1265" s="8" t="s">
        <v>217</v>
      </c>
      <c r="J1265" s="1">
        <v>60</v>
      </c>
    </row>
    <row r="1266" spans="2:10" x14ac:dyDescent="0.2">
      <c r="B1266" s="4">
        <v>43873</v>
      </c>
      <c r="C1266" s="8" t="s">
        <v>1139</v>
      </c>
      <c r="D1266" s="1">
        <v>10</v>
      </c>
      <c r="E1266" s="9" t="s">
        <v>265</v>
      </c>
      <c r="F1266" s="22">
        <v>414</v>
      </c>
      <c r="G1266" s="22">
        <v>187</v>
      </c>
      <c r="H1266" s="1" t="str">
        <f t="shared" si="20"/>
        <v>Wed</v>
      </c>
      <c r="I1266" s="8" t="s">
        <v>217</v>
      </c>
      <c r="J1266" s="1">
        <v>60</v>
      </c>
    </row>
    <row r="1267" spans="2:10" x14ac:dyDescent="0.2">
      <c r="B1267" s="4">
        <v>43875</v>
      </c>
      <c r="C1267" s="8" t="s">
        <v>1136</v>
      </c>
      <c r="D1267" s="1">
        <v>10</v>
      </c>
      <c r="E1267" s="9" t="s">
        <v>51</v>
      </c>
      <c r="F1267" s="22">
        <v>272</v>
      </c>
      <c r="G1267" s="22">
        <v>188</v>
      </c>
      <c r="H1267" s="1" t="str">
        <f t="shared" si="20"/>
        <v>Fri</v>
      </c>
      <c r="I1267" s="8" t="s">
        <v>217</v>
      </c>
      <c r="J1267" s="1">
        <v>60</v>
      </c>
    </row>
    <row r="1268" spans="2:10" x14ac:dyDescent="0.2">
      <c r="B1268" s="4">
        <v>43876</v>
      </c>
      <c r="C1268" s="8" t="s">
        <v>1136</v>
      </c>
      <c r="D1268" s="1">
        <v>13</v>
      </c>
      <c r="E1268" s="9" t="s">
        <v>62</v>
      </c>
      <c r="F1268" s="22">
        <v>1170</v>
      </c>
      <c r="G1268" s="22">
        <v>187</v>
      </c>
      <c r="H1268" s="1" t="str">
        <f t="shared" si="20"/>
        <v>Sat</v>
      </c>
      <c r="I1268" s="8" t="s">
        <v>217</v>
      </c>
      <c r="J1268" s="1">
        <v>70</v>
      </c>
    </row>
    <row r="1269" spans="2:10" x14ac:dyDescent="0.2">
      <c r="B1269" s="4">
        <v>43878</v>
      </c>
      <c r="C1269" s="8" t="s">
        <v>1136</v>
      </c>
      <c r="D1269" s="1">
        <v>10</v>
      </c>
      <c r="E1269" s="9" t="s">
        <v>62</v>
      </c>
      <c r="F1269" s="22">
        <v>266</v>
      </c>
      <c r="G1269" s="22">
        <v>185</v>
      </c>
      <c r="H1269" s="1" t="str">
        <f t="shared" si="20"/>
        <v>Mon</v>
      </c>
      <c r="I1269" s="8" t="s">
        <v>218</v>
      </c>
      <c r="J1269" s="1">
        <v>60</v>
      </c>
    </row>
    <row r="1270" spans="2:10" x14ac:dyDescent="0.2">
      <c r="B1270" s="4">
        <v>43880</v>
      </c>
      <c r="C1270" s="8" t="s">
        <v>1139</v>
      </c>
      <c r="D1270" s="1">
        <v>6</v>
      </c>
      <c r="E1270" s="9" t="s">
        <v>82</v>
      </c>
      <c r="F1270" s="22">
        <v>228</v>
      </c>
      <c r="G1270" s="22">
        <v>185</v>
      </c>
      <c r="H1270" s="1" t="str">
        <f t="shared" si="20"/>
        <v>Wed</v>
      </c>
      <c r="I1270" s="8" t="s">
        <v>218</v>
      </c>
      <c r="J1270" s="1">
        <v>60</v>
      </c>
    </row>
    <row r="1271" spans="2:10" x14ac:dyDescent="0.2">
      <c r="E1271" s="9"/>
    </row>
    <row r="1272" spans="2:10" x14ac:dyDescent="0.2">
      <c r="E1272" s="9"/>
    </row>
    <row r="1273" spans="2:10" x14ac:dyDescent="0.2">
      <c r="E1273" s="9"/>
    </row>
    <row r="1274" spans="2:10" x14ac:dyDescent="0.2">
      <c r="E1274" s="9"/>
    </row>
    <row r="1275" spans="2:10" x14ac:dyDescent="0.2">
      <c r="E1275" s="9"/>
    </row>
    <row r="1276" spans="2:10" x14ac:dyDescent="0.2">
      <c r="E1276" s="9"/>
    </row>
    <row r="1277" spans="2:10" x14ac:dyDescent="0.2">
      <c r="E1277" s="9"/>
    </row>
    <row r="1278" spans="2:10" x14ac:dyDescent="0.2">
      <c r="E1278" s="9"/>
    </row>
    <row r="1279" spans="2:10" x14ac:dyDescent="0.2">
      <c r="E1279" s="9"/>
    </row>
    <row r="1280" spans="2:10" x14ac:dyDescent="0.2">
      <c r="E1280" s="9"/>
    </row>
    <row r="1281" spans="5:5" x14ac:dyDescent="0.2">
      <c r="E1281" s="9"/>
    </row>
    <row r="1282" spans="5:5" x14ac:dyDescent="0.2">
      <c r="E1282" s="9"/>
    </row>
    <row r="1283" spans="5:5" x14ac:dyDescent="0.2">
      <c r="E1283" s="9"/>
    </row>
    <row r="1284" spans="5:5" x14ac:dyDescent="0.2">
      <c r="E1284" s="9"/>
    </row>
    <row r="1285" spans="5:5" x14ac:dyDescent="0.2">
      <c r="E1285" s="9"/>
    </row>
    <row r="1286" spans="5:5" x14ac:dyDescent="0.2">
      <c r="E1286" s="9"/>
    </row>
    <row r="1287" spans="5:5" x14ac:dyDescent="0.2">
      <c r="E1287" s="9"/>
    </row>
    <row r="1288" spans="5:5" x14ac:dyDescent="0.2">
      <c r="E1288" s="9"/>
    </row>
    <row r="1289" spans="5:5" x14ac:dyDescent="0.2">
      <c r="E1289" s="9"/>
    </row>
    <row r="1290" spans="5:5" x14ac:dyDescent="0.2">
      <c r="E1290" s="9"/>
    </row>
    <row r="1291" spans="5:5" x14ac:dyDescent="0.2">
      <c r="E1291" s="9"/>
    </row>
    <row r="1292" spans="5:5" x14ac:dyDescent="0.2">
      <c r="E1292" s="9"/>
    </row>
    <row r="1293" spans="5:5" x14ac:dyDescent="0.2">
      <c r="E1293" s="9"/>
    </row>
    <row r="1294" spans="5:5" x14ac:dyDescent="0.2">
      <c r="E1294" s="9"/>
    </row>
    <row r="1295" spans="5:5" x14ac:dyDescent="0.2">
      <c r="E1295" s="9"/>
    </row>
    <row r="1296" spans="5:5" x14ac:dyDescent="0.2">
      <c r="E1296" s="9"/>
    </row>
    <row r="1297" spans="5:5" x14ac:dyDescent="0.2">
      <c r="E1297" s="9"/>
    </row>
    <row r="1298" spans="5:5" x14ac:dyDescent="0.2">
      <c r="E1298" s="9"/>
    </row>
    <row r="1299" spans="5:5" x14ac:dyDescent="0.2">
      <c r="E1299" s="9"/>
    </row>
    <row r="1300" spans="5:5" x14ac:dyDescent="0.2">
      <c r="E1300" s="9"/>
    </row>
    <row r="1301" spans="5:5" x14ac:dyDescent="0.2">
      <c r="E1301" s="9"/>
    </row>
    <row r="1302" spans="5:5" x14ac:dyDescent="0.2">
      <c r="E1302" s="9"/>
    </row>
    <row r="1303" spans="5:5" x14ac:dyDescent="0.2">
      <c r="E1303" s="9"/>
    </row>
    <row r="1304" spans="5:5" x14ac:dyDescent="0.2">
      <c r="E1304" s="9"/>
    </row>
    <row r="1305" spans="5:5" x14ac:dyDescent="0.2">
      <c r="E1305" s="9"/>
    </row>
    <row r="1306" spans="5:5" x14ac:dyDescent="0.2">
      <c r="E1306" s="9"/>
    </row>
    <row r="1307" spans="5:5" x14ac:dyDescent="0.2">
      <c r="E1307" s="9"/>
    </row>
    <row r="1308" spans="5:5" x14ac:dyDescent="0.2">
      <c r="E1308" s="9"/>
    </row>
    <row r="1309" spans="5:5" x14ac:dyDescent="0.2">
      <c r="E1309" s="9"/>
    </row>
    <row r="1310" spans="5:5" x14ac:dyDescent="0.2">
      <c r="E1310" s="9"/>
    </row>
    <row r="1311" spans="5:5" x14ac:dyDescent="0.2">
      <c r="E1311" s="9"/>
    </row>
    <row r="1312" spans="5:5" x14ac:dyDescent="0.2">
      <c r="E1312" s="9"/>
    </row>
    <row r="1313" spans="5:5" x14ac:dyDescent="0.2">
      <c r="E1313" s="9"/>
    </row>
    <row r="1314" spans="5:5" x14ac:dyDescent="0.2">
      <c r="E1314" s="9"/>
    </row>
    <row r="1315" spans="5:5" x14ac:dyDescent="0.2">
      <c r="E1315" s="9"/>
    </row>
    <row r="1316" spans="5:5" x14ac:dyDescent="0.2">
      <c r="E1316" s="9"/>
    </row>
    <row r="1317" spans="5:5" x14ac:dyDescent="0.2">
      <c r="E1317" s="9"/>
    </row>
    <row r="1318" spans="5:5" x14ac:dyDescent="0.2">
      <c r="E1318" s="9"/>
    </row>
    <row r="1319" spans="5:5" x14ac:dyDescent="0.2">
      <c r="E1319" s="9"/>
    </row>
    <row r="1320" spans="5:5" x14ac:dyDescent="0.2">
      <c r="E1320" s="9"/>
    </row>
    <row r="1321" spans="5:5" x14ac:dyDescent="0.2">
      <c r="E1321" s="9"/>
    </row>
    <row r="1322" spans="5:5" x14ac:dyDescent="0.2">
      <c r="E1322" s="9"/>
    </row>
    <row r="1323" spans="5:5" x14ac:dyDescent="0.2">
      <c r="E1323" s="9"/>
    </row>
    <row r="1324" spans="5:5" x14ac:dyDescent="0.2">
      <c r="E1324" s="9"/>
    </row>
    <row r="1325" spans="5:5" x14ac:dyDescent="0.2">
      <c r="E1325" s="9"/>
    </row>
    <row r="1326" spans="5:5" x14ac:dyDescent="0.2">
      <c r="E1326" s="9"/>
    </row>
    <row r="1327" spans="5:5" x14ac:dyDescent="0.2">
      <c r="E1327" s="9"/>
    </row>
    <row r="1328" spans="5:5" x14ac:dyDescent="0.2">
      <c r="E1328" s="9"/>
    </row>
    <row r="1329" spans="5:5" x14ac:dyDescent="0.2">
      <c r="E1329" s="9"/>
    </row>
    <row r="1330" spans="5:5" x14ac:dyDescent="0.2">
      <c r="E1330" s="9"/>
    </row>
    <row r="1331" spans="5:5" x14ac:dyDescent="0.2">
      <c r="E1331" s="9"/>
    </row>
    <row r="1332" spans="5:5" x14ac:dyDescent="0.2">
      <c r="E1332" s="9"/>
    </row>
    <row r="1333" spans="5:5" x14ac:dyDescent="0.2">
      <c r="E1333" s="9"/>
    </row>
    <row r="1334" spans="5:5" x14ac:dyDescent="0.2">
      <c r="E1334" s="9"/>
    </row>
    <row r="1335" spans="5:5" x14ac:dyDescent="0.2">
      <c r="E1335" s="9"/>
    </row>
    <row r="1336" spans="5:5" x14ac:dyDescent="0.2">
      <c r="E1336" s="9"/>
    </row>
    <row r="1337" spans="5:5" x14ac:dyDescent="0.2">
      <c r="E1337" s="9"/>
    </row>
    <row r="1338" spans="5:5" x14ac:dyDescent="0.2">
      <c r="E1338" s="9"/>
    </row>
    <row r="1339" spans="5:5" x14ac:dyDescent="0.2">
      <c r="E1339" s="9"/>
    </row>
    <row r="1340" spans="5:5" x14ac:dyDescent="0.2">
      <c r="E1340" s="9"/>
    </row>
    <row r="1341" spans="5:5" x14ac:dyDescent="0.2">
      <c r="E1341" s="9"/>
    </row>
    <row r="1342" spans="5:5" x14ac:dyDescent="0.2">
      <c r="E1342" s="9"/>
    </row>
    <row r="1343" spans="5:5" x14ac:dyDescent="0.2">
      <c r="E1343" s="9"/>
    </row>
    <row r="1344" spans="5:5" x14ac:dyDescent="0.2">
      <c r="E1344" s="9"/>
    </row>
    <row r="1345" spans="5:5" x14ac:dyDescent="0.2">
      <c r="E1345" s="9"/>
    </row>
    <row r="1346" spans="5:5" x14ac:dyDescent="0.2">
      <c r="E1346" s="9"/>
    </row>
    <row r="1347" spans="5:5" x14ac:dyDescent="0.2">
      <c r="E1347" s="9"/>
    </row>
    <row r="1348" spans="5:5" x14ac:dyDescent="0.2">
      <c r="E1348" s="9"/>
    </row>
    <row r="1349" spans="5:5" x14ac:dyDescent="0.2">
      <c r="E1349" s="9"/>
    </row>
    <row r="1350" spans="5:5" x14ac:dyDescent="0.2">
      <c r="E1350" s="9"/>
    </row>
    <row r="1351" spans="5:5" x14ac:dyDescent="0.2">
      <c r="E1351" s="9"/>
    </row>
    <row r="1352" spans="5:5" x14ac:dyDescent="0.2">
      <c r="E1352" s="9"/>
    </row>
    <row r="1353" spans="5:5" x14ac:dyDescent="0.2">
      <c r="E1353" s="9"/>
    </row>
    <row r="1354" spans="5:5" x14ac:dyDescent="0.2">
      <c r="E1354" s="9"/>
    </row>
    <row r="1355" spans="5:5" x14ac:dyDescent="0.2">
      <c r="E1355" s="9"/>
    </row>
    <row r="1356" spans="5:5" x14ac:dyDescent="0.2">
      <c r="E1356" s="9"/>
    </row>
    <row r="1357" spans="5:5" x14ac:dyDescent="0.2">
      <c r="E1357" s="9"/>
    </row>
    <row r="1358" spans="5:5" x14ac:dyDescent="0.2">
      <c r="E1358" s="9"/>
    </row>
    <row r="1359" spans="5:5" x14ac:dyDescent="0.2">
      <c r="E1359" s="9"/>
    </row>
    <row r="1360" spans="5:5" x14ac:dyDescent="0.2">
      <c r="E1360" s="9"/>
    </row>
    <row r="1361" spans="5:5" x14ac:dyDescent="0.2">
      <c r="E1361" s="9"/>
    </row>
    <row r="1362" spans="5:5" x14ac:dyDescent="0.2">
      <c r="E1362" s="9"/>
    </row>
    <row r="1363" spans="5:5" x14ac:dyDescent="0.2">
      <c r="E1363" s="9"/>
    </row>
    <row r="1364" spans="5:5" x14ac:dyDescent="0.2">
      <c r="E1364" s="9"/>
    </row>
    <row r="1365" spans="5:5" x14ac:dyDescent="0.2">
      <c r="E1365" s="9"/>
    </row>
    <row r="1366" spans="5:5" x14ac:dyDescent="0.2">
      <c r="E1366" s="9"/>
    </row>
    <row r="1367" spans="5:5" x14ac:dyDescent="0.2">
      <c r="E1367" s="9"/>
    </row>
    <row r="1368" spans="5:5" x14ac:dyDescent="0.2">
      <c r="E1368" s="9"/>
    </row>
    <row r="1369" spans="5:5" x14ac:dyDescent="0.2">
      <c r="E1369" s="9"/>
    </row>
    <row r="1370" spans="5:5" x14ac:dyDescent="0.2">
      <c r="E1370" s="9"/>
    </row>
    <row r="1371" spans="5:5" x14ac:dyDescent="0.2">
      <c r="E1371" s="9"/>
    </row>
    <row r="1372" spans="5:5" x14ac:dyDescent="0.2">
      <c r="E1372" s="9"/>
    </row>
    <row r="1373" spans="5:5" x14ac:dyDescent="0.2">
      <c r="E1373" s="9"/>
    </row>
    <row r="1374" spans="5:5" x14ac:dyDescent="0.2">
      <c r="E1374" s="9"/>
    </row>
    <row r="1375" spans="5:5" x14ac:dyDescent="0.2">
      <c r="E1375" s="9"/>
    </row>
    <row r="1376" spans="5:5" x14ac:dyDescent="0.2">
      <c r="E1376" s="9"/>
    </row>
    <row r="1377" spans="5:5" x14ac:dyDescent="0.2">
      <c r="E1377" s="9"/>
    </row>
    <row r="1378" spans="5:5" x14ac:dyDescent="0.2">
      <c r="E1378" s="9"/>
    </row>
    <row r="1379" spans="5:5" x14ac:dyDescent="0.2">
      <c r="E1379" s="9"/>
    </row>
    <row r="1380" spans="5:5" x14ac:dyDescent="0.2">
      <c r="E1380" s="9"/>
    </row>
    <row r="1381" spans="5:5" x14ac:dyDescent="0.2">
      <c r="E1381" s="9"/>
    </row>
    <row r="1382" spans="5:5" x14ac:dyDescent="0.2">
      <c r="E1382" s="9"/>
    </row>
    <row r="1383" spans="5:5" x14ac:dyDescent="0.2">
      <c r="E1383" s="9"/>
    </row>
    <row r="1384" spans="5:5" x14ac:dyDescent="0.2">
      <c r="E1384" s="9"/>
    </row>
    <row r="1385" spans="5:5" x14ac:dyDescent="0.2">
      <c r="E1385" s="9"/>
    </row>
    <row r="1386" spans="5:5" x14ac:dyDescent="0.2">
      <c r="E1386" s="9"/>
    </row>
    <row r="1387" spans="5:5" x14ac:dyDescent="0.2">
      <c r="E1387" s="9"/>
    </row>
    <row r="1388" spans="5:5" x14ac:dyDescent="0.2">
      <c r="E1388" s="9"/>
    </row>
    <row r="1389" spans="5:5" x14ac:dyDescent="0.2">
      <c r="E1389" s="9"/>
    </row>
    <row r="1390" spans="5:5" x14ac:dyDescent="0.2">
      <c r="E1390" s="9"/>
    </row>
    <row r="1391" spans="5:5" x14ac:dyDescent="0.2">
      <c r="E1391" s="9"/>
    </row>
    <row r="1392" spans="5:5" x14ac:dyDescent="0.2">
      <c r="E1392" s="9"/>
    </row>
    <row r="1393" spans="5:5" x14ac:dyDescent="0.2">
      <c r="E1393" s="9"/>
    </row>
    <row r="1394" spans="5:5" x14ac:dyDescent="0.2">
      <c r="E1394" s="9"/>
    </row>
    <row r="1395" spans="5:5" x14ac:dyDescent="0.2">
      <c r="E1395" s="9"/>
    </row>
    <row r="1396" spans="5:5" x14ac:dyDescent="0.2">
      <c r="E1396" s="9"/>
    </row>
    <row r="1397" spans="5:5" x14ac:dyDescent="0.2">
      <c r="E1397" s="9"/>
    </row>
    <row r="1398" spans="5:5" x14ac:dyDescent="0.2">
      <c r="E1398" s="9"/>
    </row>
    <row r="1399" spans="5:5" x14ac:dyDescent="0.2">
      <c r="E1399" s="9"/>
    </row>
    <row r="1400" spans="5:5" x14ac:dyDescent="0.2">
      <c r="E1400" s="9"/>
    </row>
    <row r="1401" spans="5:5" x14ac:dyDescent="0.2">
      <c r="E1401" s="9"/>
    </row>
    <row r="1402" spans="5:5" x14ac:dyDescent="0.2">
      <c r="E1402" s="9"/>
    </row>
    <row r="1403" spans="5:5" x14ac:dyDescent="0.2">
      <c r="E1403" s="9"/>
    </row>
    <row r="1404" spans="5:5" x14ac:dyDescent="0.2">
      <c r="E1404" s="9"/>
    </row>
    <row r="1405" spans="5:5" x14ac:dyDescent="0.2">
      <c r="E1405" s="9"/>
    </row>
    <row r="1406" spans="5:5" x14ac:dyDescent="0.2">
      <c r="E1406" s="9"/>
    </row>
    <row r="1407" spans="5:5" x14ac:dyDescent="0.2">
      <c r="E1407" s="9"/>
    </row>
    <row r="1408" spans="5:5" x14ac:dyDescent="0.2">
      <c r="E1408" s="9"/>
    </row>
    <row r="1409" spans="5:5" x14ac:dyDescent="0.2">
      <c r="E1409" s="9"/>
    </row>
    <row r="1410" spans="5:5" x14ac:dyDescent="0.2">
      <c r="E1410" s="9"/>
    </row>
    <row r="1411" spans="5:5" x14ac:dyDescent="0.2">
      <c r="E1411" s="9"/>
    </row>
    <row r="1412" spans="5:5" x14ac:dyDescent="0.2">
      <c r="E1412" s="9"/>
    </row>
    <row r="1413" spans="5:5" x14ac:dyDescent="0.2">
      <c r="E1413" s="9"/>
    </row>
    <row r="1414" spans="5:5" x14ac:dyDescent="0.2">
      <c r="E1414" s="9"/>
    </row>
    <row r="1415" spans="5:5" x14ac:dyDescent="0.2">
      <c r="E1415" s="9"/>
    </row>
    <row r="1416" spans="5:5" x14ac:dyDescent="0.2">
      <c r="E1416" s="9"/>
    </row>
    <row r="1417" spans="5:5" x14ac:dyDescent="0.2">
      <c r="E1417" s="9"/>
    </row>
    <row r="1418" spans="5:5" x14ac:dyDescent="0.2">
      <c r="E1418" s="9"/>
    </row>
    <row r="1419" spans="5:5" x14ac:dyDescent="0.2">
      <c r="E1419" s="9"/>
    </row>
    <row r="1420" spans="5:5" x14ac:dyDescent="0.2">
      <c r="E1420" s="9"/>
    </row>
    <row r="1421" spans="5:5" x14ac:dyDescent="0.2">
      <c r="E1421" s="9"/>
    </row>
    <row r="1422" spans="5:5" x14ac:dyDescent="0.2">
      <c r="E1422" s="9"/>
    </row>
    <row r="1423" spans="5:5" x14ac:dyDescent="0.2">
      <c r="E1423" s="9"/>
    </row>
    <row r="1424" spans="5:5" x14ac:dyDescent="0.2">
      <c r="E1424" s="9"/>
    </row>
    <row r="1425" spans="5:5" x14ac:dyDescent="0.2">
      <c r="E1425" s="9"/>
    </row>
    <row r="1426" spans="5:5" x14ac:dyDescent="0.2">
      <c r="E1426" s="9"/>
    </row>
    <row r="1427" spans="5:5" x14ac:dyDescent="0.2">
      <c r="E1427" s="9"/>
    </row>
    <row r="1428" spans="5:5" x14ac:dyDescent="0.2">
      <c r="E1428" s="9"/>
    </row>
    <row r="1429" spans="5:5" x14ac:dyDescent="0.2">
      <c r="E1429" s="9"/>
    </row>
    <row r="1430" spans="5:5" x14ac:dyDescent="0.2">
      <c r="E1430" s="9"/>
    </row>
    <row r="1431" spans="5:5" x14ac:dyDescent="0.2">
      <c r="E1431" s="9"/>
    </row>
    <row r="1432" spans="5:5" x14ac:dyDescent="0.2">
      <c r="E1432" s="9"/>
    </row>
    <row r="1433" spans="5:5" x14ac:dyDescent="0.2">
      <c r="E1433" s="9"/>
    </row>
    <row r="1434" spans="5:5" x14ac:dyDescent="0.2">
      <c r="E1434" s="9"/>
    </row>
    <row r="1435" spans="5:5" x14ac:dyDescent="0.2">
      <c r="E1435" s="9"/>
    </row>
    <row r="1436" spans="5:5" x14ac:dyDescent="0.2">
      <c r="E1436" s="9"/>
    </row>
    <row r="1437" spans="5:5" x14ac:dyDescent="0.2">
      <c r="E1437" s="9"/>
    </row>
    <row r="1438" spans="5:5" x14ac:dyDescent="0.2">
      <c r="E1438" s="9"/>
    </row>
    <row r="1439" spans="5:5" x14ac:dyDescent="0.2">
      <c r="E1439" s="9"/>
    </row>
    <row r="1440" spans="5:5" x14ac:dyDescent="0.2">
      <c r="E1440" s="9"/>
    </row>
    <row r="1441" spans="5:5" x14ac:dyDescent="0.2">
      <c r="E1441" s="9"/>
    </row>
    <row r="1442" spans="5:5" x14ac:dyDescent="0.2">
      <c r="E1442" s="9"/>
    </row>
    <row r="1443" spans="5:5" x14ac:dyDescent="0.2">
      <c r="E1443" s="9"/>
    </row>
    <row r="1444" spans="5:5" x14ac:dyDescent="0.2">
      <c r="E1444" s="9"/>
    </row>
    <row r="1445" spans="5:5" x14ac:dyDescent="0.2">
      <c r="E1445" s="9"/>
    </row>
    <row r="1446" spans="5:5" x14ac:dyDescent="0.2">
      <c r="E1446" s="9"/>
    </row>
    <row r="1447" spans="5:5" x14ac:dyDescent="0.2">
      <c r="E1447" s="9"/>
    </row>
    <row r="1448" spans="5:5" x14ac:dyDescent="0.2">
      <c r="E1448" s="9"/>
    </row>
    <row r="1449" spans="5:5" x14ac:dyDescent="0.2">
      <c r="E1449" s="9"/>
    </row>
    <row r="1450" spans="5:5" x14ac:dyDescent="0.2">
      <c r="E1450" s="9"/>
    </row>
    <row r="1451" spans="5:5" x14ac:dyDescent="0.2">
      <c r="E1451" s="9"/>
    </row>
    <row r="1452" spans="5:5" x14ac:dyDescent="0.2">
      <c r="E1452" s="9"/>
    </row>
    <row r="1453" spans="5:5" x14ac:dyDescent="0.2">
      <c r="E1453" s="9"/>
    </row>
    <row r="1454" spans="5:5" x14ac:dyDescent="0.2">
      <c r="E1454" s="9"/>
    </row>
    <row r="1455" spans="5:5" x14ac:dyDescent="0.2">
      <c r="E1455" s="9"/>
    </row>
    <row r="1456" spans="5:5" x14ac:dyDescent="0.2">
      <c r="E1456" s="9"/>
    </row>
    <row r="1457" spans="5:5" x14ac:dyDescent="0.2">
      <c r="E1457" s="9"/>
    </row>
    <row r="1458" spans="5:5" x14ac:dyDescent="0.2">
      <c r="E1458" s="9"/>
    </row>
    <row r="1459" spans="5:5" x14ac:dyDescent="0.2">
      <c r="E1459" s="9"/>
    </row>
    <row r="1460" spans="5:5" x14ac:dyDescent="0.2">
      <c r="E1460" s="9"/>
    </row>
    <row r="1461" spans="5:5" x14ac:dyDescent="0.2">
      <c r="E1461" s="9"/>
    </row>
    <row r="1462" spans="5:5" x14ac:dyDescent="0.2">
      <c r="E1462" s="9"/>
    </row>
    <row r="1463" spans="5:5" x14ac:dyDescent="0.2">
      <c r="E1463" s="9"/>
    </row>
    <row r="1464" spans="5:5" x14ac:dyDescent="0.2">
      <c r="E1464" s="9"/>
    </row>
    <row r="1465" spans="5:5" x14ac:dyDescent="0.2">
      <c r="E1465" s="9"/>
    </row>
    <row r="1466" spans="5:5" x14ac:dyDescent="0.2">
      <c r="E1466" s="9"/>
    </row>
    <row r="1467" spans="5:5" x14ac:dyDescent="0.2">
      <c r="E1467" s="9"/>
    </row>
    <row r="1468" spans="5:5" x14ac:dyDescent="0.2">
      <c r="E1468" s="9"/>
    </row>
    <row r="1469" spans="5:5" x14ac:dyDescent="0.2">
      <c r="E1469" s="9"/>
    </row>
    <row r="1470" spans="5:5" x14ac:dyDescent="0.2">
      <c r="E1470" s="9"/>
    </row>
    <row r="1471" spans="5:5" x14ac:dyDescent="0.2">
      <c r="E1471" s="9"/>
    </row>
    <row r="1472" spans="5:5" x14ac:dyDescent="0.2">
      <c r="E1472" s="9"/>
    </row>
    <row r="1473" spans="5:5" x14ac:dyDescent="0.2">
      <c r="E1473" s="9"/>
    </row>
    <row r="1474" spans="5:5" x14ac:dyDescent="0.2">
      <c r="E1474" s="9"/>
    </row>
    <row r="1475" spans="5:5" x14ac:dyDescent="0.2">
      <c r="E1475" s="9"/>
    </row>
    <row r="1476" spans="5:5" x14ac:dyDescent="0.2">
      <c r="E1476" s="9"/>
    </row>
    <row r="1477" spans="5:5" x14ac:dyDescent="0.2">
      <c r="E1477" s="9"/>
    </row>
    <row r="1478" spans="5:5" x14ac:dyDescent="0.2">
      <c r="E1478" s="9"/>
    </row>
    <row r="1479" spans="5:5" x14ac:dyDescent="0.2">
      <c r="E1479" s="9"/>
    </row>
    <row r="1480" spans="5:5" x14ac:dyDescent="0.2">
      <c r="E1480" s="9"/>
    </row>
    <row r="1481" spans="5:5" x14ac:dyDescent="0.2">
      <c r="E1481" s="9"/>
    </row>
    <row r="1482" spans="5:5" x14ac:dyDescent="0.2">
      <c r="E1482" s="9"/>
    </row>
    <row r="1483" spans="5:5" x14ac:dyDescent="0.2">
      <c r="E1483" s="9"/>
    </row>
    <row r="1484" spans="5:5" x14ac:dyDescent="0.2">
      <c r="E1484" s="9"/>
    </row>
    <row r="1485" spans="5:5" x14ac:dyDescent="0.2">
      <c r="E1485" s="9"/>
    </row>
    <row r="1486" spans="5:5" x14ac:dyDescent="0.2">
      <c r="E1486" s="9"/>
    </row>
    <row r="1487" spans="5:5" x14ac:dyDescent="0.2">
      <c r="E1487" s="9"/>
    </row>
    <row r="1488" spans="5:5" x14ac:dyDescent="0.2">
      <c r="E1488" s="9"/>
    </row>
    <row r="1489" spans="5:5" x14ac:dyDescent="0.2">
      <c r="E1489" s="9"/>
    </row>
    <row r="1490" spans="5:5" x14ac:dyDescent="0.2">
      <c r="E1490" s="9"/>
    </row>
    <row r="1491" spans="5:5" x14ac:dyDescent="0.2">
      <c r="E1491" s="9"/>
    </row>
    <row r="1492" spans="5:5" x14ac:dyDescent="0.2">
      <c r="E1492" s="9"/>
    </row>
    <row r="1493" spans="5:5" x14ac:dyDescent="0.2">
      <c r="E1493" s="9"/>
    </row>
    <row r="1494" spans="5:5" x14ac:dyDescent="0.2">
      <c r="E1494" s="9"/>
    </row>
    <row r="1495" spans="5:5" x14ac:dyDescent="0.2">
      <c r="E1495" s="9"/>
    </row>
    <row r="1496" spans="5:5" x14ac:dyDescent="0.2">
      <c r="E1496" s="9"/>
    </row>
    <row r="1497" spans="5:5" x14ac:dyDescent="0.2">
      <c r="E1497" s="9"/>
    </row>
    <row r="1498" spans="5:5" x14ac:dyDescent="0.2">
      <c r="E1498" s="9"/>
    </row>
    <row r="1499" spans="5:5" x14ac:dyDescent="0.2">
      <c r="E1499" s="9"/>
    </row>
    <row r="1500" spans="5:5" x14ac:dyDescent="0.2">
      <c r="E1500" s="9"/>
    </row>
    <row r="1501" spans="5:5" x14ac:dyDescent="0.2">
      <c r="E1501" s="9"/>
    </row>
    <row r="1502" spans="5:5" x14ac:dyDescent="0.2">
      <c r="E1502" s="9"/>
    </row>
    <row r="1503" spans="5:5" x14ac:dyDescent="0.2">
      <c r="E1503" s="9"/>
    </row>
    <row r="1504" spans="5:5" x14ac:dyDescent="0.2">
      <c r="E1504" s="9"/>
    </row>
    <row r="1505" spans="5:5" x14ac:dyDescent="0.2">
      <c r="E1505" s="9"/>
    </row>
    <row r="1506" spans="5:5" x14ac:dyDescent="0.2">
      <c r="E1506" s="9"/>
    </row>
    <row r="1507" spans="5:5" x14ac:dyDescent="0.2">
      <c r="E1507" s="9"/>
    </row>
    <row r="1508" spans="5:5" x14ac:dyDescent="0.2">
      <c r="E1508" s="9"/>
    </row>
    <row r="1509" spans="5:5" x14ac:dyDescent="0.2">
      <c r="E1509" s="9"/>
    </row>
    <row r="1510" spans="5:5" x14ac:dyDescent="0.2">
      <c r="E1510" s="9"/>
    </row>
    <row r="1511" spans="5:5" x14ac:dyDescent="0.2">
      <c r="E1511" s="9"/>
    </row>
    <row r="1512" spans="5:5" x14ac:dyDescent="0.2">
      <c r="E1512" s="9"/>
    </row>
    <row r="1513" spans="5:5" x14ac:dyDescent="0.2">
      <c r="E1513" s="9"/>
    </row>
    <row r="1514" spans="5:5" x14ac:dyDescent="0.2">
      <c r="E1514" s="9"/>
    </row>
    <row r="1515" spans="5:5" x14ac:dyDescent="0.2">
      <c r="E1515" s="9"/>
    </row>
    <row r="1516" spans="5:5" x14ac:dyDescent="0.2">
      <c r="E1516" s="9"/>
    </row>
    <row r="1517" spans="5:5" x14ac:dyDescent="0.2">
      <c r="E1517" s="9"/>
    </row>
    <row r="1518" spans="5:5" x14ac:dyDescent="0.2">
      <c r="E1518" s="9"/>
    </row>
    <row r="1519" spans="5:5" x14ac:dyDescent="0.2">
      <c r="E1519" s="9"/>
    </row>
    <row r="1520" spans="5:5" x14ac:dyDescent="0.2">
      <c r="E1520" s="9"/>
    </row>
    <row r="1521" spans="5:5" x14ac:dyDescent="0.2">
      <c r="E1521" s="9"/>
    </row>
    <row r="1522" spans="5:5" x14ac:dyDescent="0.2">
      <c r="E1522" s="9"/>
    </row>
    <row r="1523" spans="5:5" x14ac:dyDescent="0.2">
      <c r="E1523" s="9"/>
    </row>
    <row r="1524" spans="5:5" x14ac:dyDescent="0.2">
      <c r="E1524" s="9"/>
    </row>
    <row r="1525" spans="5:5" x14ac:dyDescent="0.2">
      <c r="E1525" s="9"/>
    </row>
    <row r="1526" spans="5:5" x14ac:dyDescent="0.2">
      <c r="E1526" s="9"/>
    </row>
    <row r="1527" spans="5:5" x14ac:dyDescent="0.2">
      <c r="E1527" s="9"/>
    </row>
    <row r="1528" spans="5:5" x14ac:dyDescent="0.2">
      <c r="E1528" s="9"/>
    </row>
    <row r="1529" spans="5:5" x14ac:dyDescent="0.2">
      <c r="E1529" s="9"/>
    </row>
    <row r="1530" spans="5:5" x14ac:dyDescent="0.2">
      <c r="E1530" s="9"/>
    </row>
    <row r="1531" spans="5:5" x14ac:dyDescent="0.2">
      <c r="E1531" s="9"/>
    </row>
    <row r="1532" spans="5:5" x14ac:dyDescent="0.2">
      <c r="E1532" s="9"/>
    </row>
    <row r="1533" spans="5:5" x14ac:dyDescent="0.2">
      <c r="E1533" s="9"/>
    </row>
    <row r="1534" spans="5:5" x14ac:dyDescent="0.2">
      <c r="E1534" s="9"/>
    </row>
    <row r="1535" spans="5:5" x14ac:dyDescent="0.2">
      <c r="E1535" s="9"/>
    </row>
    <row r="1536" spans="5:5" x14ac:dyDescent="0.2">
      <c r="E1536" s="9"/>
    </row>
    <row r="1537" spans="5:5" x14ac:dyDescent="0.2">
      <c r="E1537" s="9"/>
    </row>
    <row r="1538" spans="5:5" x14ac:dyDescent="0.2">
      <c r="E1538" s="9"/>
    </row>
    <row r="1539" spans="5:5" x14ac:dyDescent="0.2">
      <c r="E1539" s="9"/>
    </row>
    <row r="1540" spans="5:5" x14ac:dyDescent="0.2">
      <c r="E1540" s="9"/>
    </row>
    <row r="1541" spans="5:5" x14ac:dyDescent="0.2">
      <c r="E1541" s="9"/>
    </row>
    <row r="1542" spans="5:5" x14ac:dyDescent="0.2">
      <c r="E1542" s="9"/>
    </row>
    <row r="1543" spans="5:5" x14ac:dyDescent="0.2">
      <c r="E1543" s="9"/>
    </row>
    <row r="1544" spans="5:5" x14ac:dyDescent="0.2">
      <c r="E1544" s="9"/>
    </row>
    <row r="1545" spans="5:5" x14ac:dyDescent="0.2">
      <c r="E1545" s="9"/>
    </row>
    <row r="1546" spans="5:5" x14ac:dyDescent="0.2">
      <c r="E1546" s="9"/>
    </row>
    <row r="1547" spans="5:5" x14ac:dyDescent="0.2">
      <c r="E1547" s="9"/>
    </row>
    <row r="1548" spans="5:5" x14ac:dyDescent="0.2">
      <c r="E1548" s="9"/>
    </row>
    <row r="1549" spans="5:5" x14ac:dyDescent="0.2">
      <c r="E1549" s="9"/>
    </row>
    <row r="1550" spans="5:5" x14ac:dyDescent="0.2">
      <c r="E1550" s="9"/>
    </row>
    <row r="1551" spans="5:5" x14ac:dyDescent="0.2">
      <c r="E1551" s="9"/>
    </row>
    <row r="1552" spans="5:5" x14ac:dyDescent="0.2">
      <c r="E1552" s="9"/>
    </row>
    <row r="1553" spans="5:5" x14ac:dyDescent="0.2">
      <c r="E1553" s="9"/>
    </row>
    <row r="1554" spans="5:5" x14ac:dyDescent="0.2">
      <c r="E1554" s="9"/>
    </row>
    <row r="1555" spans="5:5" x14ac:dyDescent="0.2">
      <c r="E1555" s="9"/>
    </row>
    <row r="1556" spans="5:5" x14ac:dyDescent="0.2">
      <c r="E1556" s="9"/>
    </row>
    <row r="1557" spans="5:5" x14ac:dyDescent="0.2">
      <c r="E1557" s="9"/>
    </row>
    <row r="1558" spans="5:5" x14ac:dyDescent="0.2">
      <c r="E1558" s="9"/>
    </row>
    <row r="1559" spans="5:5" x14ac:dyDescent="0.2">
      <c r="E1559" s="9"/>
    </row>
    <row r="1560" spans="5:5" x14ac:dyDescent="0.2">
      <c r="E1560" s="9"/>
    </row>
    <row r="1561" spans="5:5" x14ac:dyDescent="0.2">
      <c r="E1561" s="9"/>
    </row>
    <row r="1562" spans="5:5" x14ac:dyDescent="0.2">
      <c r="E1562" s="9"/>
    </row>
    <row r="1563" spans="5:5" x14ac:dyDescent="0.2">
      <c r="E1563" s="9"/>
    </row>
    <row r="1564" spans="5:5" x14ac:dyDescent="0.2">
      <c r="E1564" s="9"/>
    </row>
    <row r="1565" spans="5:5" x14ac:dyDescent="0.2">
      <c r="E1565" s="9"/>
    </row>
    <row r="1566" spans="5:5" x14ac:dyDescent="0.2">
      <c r="E1566" s="9"/>
    </row>
    <row r="1567" spans="5:5" x14ac:dyDescent="0.2">
      <c r="E1567" s="9"/>
    </row>
    <row r="1568" spans="5:5" x14ac:dyDescent="0.2">
      <c r="E1568" s="9"/>
    </row>
    <row r="1569" spans="5:5" x14ac:dyDescent="0.2">
      <c r="E1569" s="9"/>
    </row>
    <row r="1570" spans="5:5" x14ac:dyDescent="0.2">
      <c r="E1570" s="9"/>
    </row>
    <row r="1571" spans="5:5" x14ac:dyDescent="0.2">
      <c r="E1571" s="9"/>
    </row>
    <row r="1572" spans="5:5" x14ac:dyDescent="0.2">
      <c r="E1572" s="9"/>
    </row>
    <row r="1573" spans="5:5" x14ac:dyDescent="0.2">
      <c r="E1573" s="9"/>
    </row>
    <row r="1574" spans="5:5" x14ac:dyDescent="0.2">
      <c r="E1574" s="9"/>
    </row>
    <row r="1575" spans="5:5" x14ac:dyDescent="0.2">
      <c r="E1575" s="9"/>
    </row>
    <row r="1576" spans="5:5" x14ac:dyDescent="0.2">
      <c r="E1576" s="9"/>
    </row>
    <row r="1577" spans="5:5" x14ac:dyDescent="0.2">
      <c r="E1577" s="9"/>
    </row>
    <row r="1578" spans="5:5" x14ac:dyDescent="0.2">
      <c r="E1578" s="9"/>
    </row>
    <row r="1579" spans="5:5" x14ac:dyDescent="0.2">
      <c r="E1579" s="9"/>
    </row>
    <row r="1580" spans="5:5" x14ac:dyDescent="0.2">
      <c r="E1580" s="9"/>
    </row>
    <row r="1581" spans="5:5" x14ac:dyDescent="0.2">
      <c r="E1581" s="9"/>
    </row>
    <row r="1582" spans="5:5" x14ac:dyDescent="0.2">
      <c r="E1582" s="9"/>
    </row>
    <row r="1583" spans="5:5" x14ac:dyDescent="0.2">
      <c r="E1583" s="9"/>
    </row>
    <row r="1584" spans="5:5" x14ac:dyDescent="0.2">
      <c r="E1584" s="9"/>
    </row>
    <row r="1585" spans="5:5" x14ac:dyDescent="0.2">
      <c r="E1585" s="9"/>
    </row>
    <row r="1586" spans="5:5" x14ac:dyDescent="0.2">
      <c r="E1586" s="9"/>
    </row>
    <row r="1587" spans="5:5" x14ac:dyDescent="0.2">
      <c r="E1587" s="9"/>
    </row>
    <row r="1588" spans="5:5" x14ac:dyDescent="0.2">
      <c r="E1588" s="9"/>
    </row>
    <row r="1589" spans="5:5" x14ac:dyDescent="0.2">
      <c r="E1589" s="9"/>
    </row>
    <row r="1590" spans="5:5" x14ac:dyDescent="0.2">
      <c r="E1590" s="9"/>
    </row>
    <row r="1591" spans="5:5" x14ac:dyDescent="0.2">
      <c r="E1591" s="9"/>
    </row>
    <row r="1592" spans="5:5" x14ac:dyDescent="0.2">
      <c r="E1592" s="9"/>
    </row>
    <row r="1593" spans="5:5" x14ac:dyDescent="0.2">
      <c r="E1593" s="9"/>
    </row>
    <row r="1594" spans="5:5" x14ac:dyDescent="0.2">
      <c r="E1594" s="9"/>
    </row>
    <row r="1595" spans="5:5" x14ac:dyDescent="0.2">
      <c r="E1595" s="9"/>
    </row>
    <row r="1596" spans="5:5" x14ac:dyDescent="0.2">
      <c r="E1596" s="9"/>
    </row>
    <row r="1597" spans="5:5" x14ac:dyDescent="0.2">
      <c r="E1597" s="9"/>
    </row>
    <row r="1598" spans="5:5" x14ac:dyDescent="0.2">
      <c r="E1598" s="9"/>
    </row>
    <row r="1599" spans="5:5" x14ac:dyDescent="0.2">
      <c r="E1599" s="9"/>
    </row>
    <row r="1600" spans="5:5" x14ac:dyDescent="0.2">
      <c r="E1600" s="9"/>
    </row>
    <row r="1601" spans="5:5" x14ac:dyDescent="0.2">
      <c r="E1601" s="9"/>
    </row>
    <row r="1602" spans="5:5" x14ac:dyDescent="0.2">
      <c r="E1602" s="9"/>
    </row>
    <row r="1603" spans="5:5" x14ac:dyDescent="0.2">
      <c r="E1603" s="9"/>
    </row>
    <row r="1604" spans="5:5" x14ac:dyDescent="0.2">
      <c r="E1604" s="9"/>
    </row>
    <row r="1605" spans="5:5" x14ac:dyDescent="0.2">
      <c r="E1605" s="9"/>
    </row>
    <row r="1606" spans="5:5" x14ac:dyDescent="0.2">
      <c r="E1606" s="9"/>
    </row>
    <row r="1607" spans="5:5" x14ac:dyDescent="0.2">
      <c r="E1607" s="9"/>
    </row>
    <row r="1608" spans="5:5" x14ac:dyDescent="0.2">
      <c r="E1608" s="9"/>
    </row>
    <row r="1609" spans="5:5" x14ac:dyDescent="0.2">
      <c r="E1609" s="9"/>
    </row>
    <row r="1610" spans="5:5" x14ac:dyDescent="0.2">
      <c r="E1610" s="9"/>
    </row>
    <row r="1611" spans="5:5" x14ac:dyDescent="0.2">
      <c r="E1611" s="9"/>
    </row>
    <row r="1612" spans="5:5" x14ac:dyDescent="0.2">
      <c r="E1612" s="9"/>
    </row>
    <row r="1613" spans="5:5" x14ac:dyDescent="0.2">
      <c r="E1613" s="9"/>
    </row>
    <row r="1614" spans="5:5" x14ac:dyDescent="0.2">
      <c r="E1614" s="9"/>
    </row>
    <row r="1615" spans="5:5" x14ac:dyDescent="0.2">
      <c r="E1615" s="9"/>
    </row>
    <row r="1616" spans="5:5" x14ac:dyDescent="0.2">
      <c r="E1616" s="9"/>
    </row>
    <row r="1617" spans="5:5" x14ac:dyDescent="0.2">
      <c r="E1617" s="9"/>
    </row>
    <row r="1618" spans="5:5" x14ac:dyDescent="0.2">
      <c r="E1618" s="9"/>
    </row>
    <row r="1619" spans="5:5" x14ac:dyDescent="0.2">
      <c r="E1619" s="9"/>
    </row>
    <row r="1620" spans="5:5" x14ac:dyDescent="0.2">
      <c r="E1620" s="9"/>
    </row>
    <row r="1621" spans="5:5" x14ac:dyDescent="0.2">
      <c r="E1621" s="9"/>
    </row>
    <row r="1622" spans="5:5" x14ac:dyDescent="0.2">
      <c r="E1622" s="9"/>
    </row>
    <row r="1623" spans="5:5" x14ac:dyDescent="0.2">
      <c r="E1623" s="9"/>
    </row>
    <row r="1624" spans="5:5" x14ac:dyDescent="0.2">
      <c r="E1624" s="9"/>
    </row>
    <row r="1625" spans="5:5" x14ac:dyDescent="0.2">
      <c r="E1625" s="9"/>
    </row>
    <row r="1626" spans="5:5" x14ac:dyDescent="0.2">
      <c r="E1626" s="9"/>
    </row>
    <row r="1627" spans="5:5" x14ac:dyDescent="0.2">
      <c r="E1627" s="9"/>
    </row>
    <row r="1628" spans="5:5" x14ac:dyDescent="0.2">
      <c r="E1628" s="9"/>
    </row>
    <row r="1629" spans="5:5" x14ac:dyDescent="0.2">
      <c r="E1629" s="9"/>
    </row>
    <row r="1630" spans="5:5" x14ac:dyDescent="0.2">
      <c r="E1630" s="9"/>
    </row>
    <row r="1631" spans="5:5" x14ac:dyDescent="0.2">
      <c r="E1631" s="9"/>
    </row>
    <row r="1632" spans="5:5" x14ac:dyDescent="0.2">
      <c r="E1632" s="9"/>
    </row>
    <row r="1633" spans="5:5" x14ac:dyDescent="0.2">
      <c r="E1633" s="9"/>
    </row>
    <row r="1634" spans="5:5" x14ac:dyDescent="0.2">
      <c r="E1634" s="9"/>
    </row>
    <row r="1635" spans="5:5" x14ac:dyDescent="0.2">
      <c r="E1635" s="9"/>
    </row>
    <row r="1636" spans="5:5" x14ac:dyDescent="0.2">
      <c r="E1636" s="9"/>
    </row>
    <row r="1637" spans="5:5" x14ac:dyDescent="0.2">
      <c r="E1637" s="9"/>
    </row>
    <row r="1638" spans="5:5" x14ac:dyDescent="0.2">
      <c r="E1638" s="9"/>
    </row>
    <row r="1639" spans="5:5" x14ac:dyDescent="0.2">
      <c r="E1639" s="9"/>
    </row>
    <row r="1640" spans="5:5" x14ac:dyDescent="0.2">
      <c r="E1640" s="9"/>
    </row>
    <row r="1641" spans="5:5" x14ac:dyDescent="0.2">
      <c r="E1641" s="9"/>
    </row>
    <row r="1642" spans="5:5" x14ac:dyDescent="0.2">
      <c r="E1642" s="9"/>
    </row>
    <row r="1643" spans="5:5" x14ac:dyDescent="0.2">
      <c r="E1643" s="9"/>
    </row>
    <row r="1644" spans="5:5" x14ac:dyDescent="0.2">
      <c r="E1644" s="9"/>
    </row>
    <row r="1645" spans="5:5" x14ac:dyDescent="0.2">
      <c r="E1645" s="9"/>
    </row>
    <row r="1646" spans="5:5" x14ac:dyDescent="0.2">
      <c r="E1646" s="9"/>
    </row>
    <row r="1647" spans="5:5" x14ac:dyDescent="0.2">
      <c r="E1647" s="9"/>
    </row>
    <row r="1648" spans="5:5" x14ac:dyDescent="0.2">
      <c r="E1648" s="9"/>
    </row>
    <row r="1649" spans="5:5" x14ac:dyDescent="0.2">
      <c r="E1649" s="9"/>
    </row>
    <row r="1650" spans="5:5" x14ac:dyDescent="0.2">
      <c r="E1650" s="9"/>
    </row>
    <row r="1651" spans="5:5" x14ac:dyDescent="0.2">
      <c r="E1651" s="9"/>
    </row>
    <row r="1652" spans="5:5" x14ac:dyDescent="0.2">
      <c r="E1652" s="9"/>
    </row>
    <row r="1653" spans="5:5" x14ac:dyDescent="0.2">
      <c r="E1653" s="9"/>
    </row>
    <row r="1654" spans="5:5" x14ac:dyDescent="0.2">
      <c r="E1654" s="9"/>
    </row>
    <row r="1655" spans="5:5" x14ac:dyDescent="0.2">
      <c r="E1655" s="9"/>
    </row>
    <row r="1656" spans="5:5" x14ac:dyDescent="0.2">
      <c r="E1656" s="9"/>
    </row>
    <row r="1657" spans="5:5" x14ac:dyDescent="0.2">
      <c r="E1657" s="9"/>
    </row>
    <row r="1658" spans="5:5" x14ac:dyDescent="0.2">
      <c r="E1658" s="9"/>
    </row>
    <row r="1659" spans="5:5" x14ac:dyDescent="0.2">
      <c r="E1659" s="9"/>
    </row>
    <row r="1660" spans="5:5" x14ac:dyDescent="0.2">
      <c r="E1660" s="9"/>
    </row>
    <row r="1661" spans="5:5" x14ac:dyDescent="0.2">
      <c r="E1661" s="9"/>
    </row>
    <row r="1662" spans="5:5" x14ac:dyDescent="0.2">
      <c r="E1662" s="9"/>
    </row>
    <row r="1663" spans="5:5" x14ac:dyDescent="0.2">
      <c r="E1663" s="9"/>
    </row>
    <row r="1664" spans="5:5" x14ac:dyDescent="0.2">
      <c r="E1664" s="9"/>
    </row>
    <row r="1665" spans="5:5" x14ac:dyDescent="0.2">
      <c r="E1665" s="9"/>
    </row>
    <row r="1666" spans="5:5" x14ac:dyDescent="0.2">
      <c r="E1666" s="9"/>
    </row>
    <row r="1667" spans="5:5" x14ac:dyDescent="0.2">
      <c r="E1667" s="9"/>
    </row>
    <row r="1668" spans="5:5" x14ac:dyDescent="0.2">
      <c r="E1668" s="9"/>
    </row>
    <row r="1669" spans="5:5" x14ac:dyDescent="0.2">
      <c r="E1669" s="9"/>
    </row>
    <row r="1670" spans="5:5" x14ac:dyDescent="0.2">
      <c r="E1670" s="9"/>
    </row>
    <row r="1671" spans="5:5" x14ac:dyDescent="0.2">
      <c r="E1671" s="9"/>
    </row>
    <row r="1672" spans="5:5" x14ac:dyDescent="0.2">
      <c r="E1672" s="9"/>
    </row>
    <row r="1673" spans="5:5" x14ac:dyDescent="0.2">
      <c r="E1673" s="9"/>
    </row>
    <row r="1674" spans="5:5" x14ac:dyDescent="0.2">
      <c r="E1674" s="9"/>
    </row>
    <row r="1675" spans="5:5" x14ac:dyDescent="0.2">
      <c r="E1675" s="9"/>
    </row>
    <row r="1676" spans="5:5" x14ac:dyDescent="0.2">
      <c r="E1676" s="9"/>
    </row>
    <row r="1677" spans="5:5" x14ac:dyDescent="0.2">
      <c r="E1677" s="9"/>
    </row>
    <row r="1678" spans="5:5" x14ac:dyDescent="0.2">
      <c r="E1678" s="9"/>
    </row>
    <row r="1679" spans="5:5" x14ac:dyDescent="0.2">
      <c r="E1679" s="9"/>
    </row>
    <row r="1680" spans="5:5" x14ac:dyDescent="0.2">
      <c r="E1680" s="9"/>
    </row>
    <row r="1681" spans="5:5" x14ac:dyDescent="0.2">
      <c r="E1681" s="9"/>
    </row>
    <row r="1682" spans="5:5" x14ac:dyDescent="0.2">
      <c r="E1682" s="9"/>
    </row>
    <row r="1683" spans="5:5" x14ac:dyDescent="0.2">
      <c r="E1683" s="9"/>
    </row>
    <row r="1684" spans="5:5" x14ac:dyDescent="0.2">
      <c r="E1684" s="9"/>
    </row>
    <row r="1685" spans="5:5" x14ac:dyDescent="0.2">
      <c r="E1685" s="9"/>
    </row>
    <row r="1686" spans="5:5" x14ac:dyDescent="0.2">
      <c r="E1686" s="9"/>
    </row>
    <row r="1687" spans="5:5" x14ac:dyDescent="0.2">
      <c r="E1687" s="9"/>
    </row>
    <row r="1688" spans="5:5" x14ac:dyDescent="0.2">
      <c r="E1688" s="9"/>
    </row>
    <row r="1689" spans="5:5" x14ac:dyDescent="0.2">
      <c r="E1689" s="9"/>
    </row>
    <row r="1690" spans="5:5" x14ac:dyDescent="0.2">
      <c r="E1690" s="9"/>
    </row>
    <row r="1691" spans="5:5" x14ac:dyDescent="0.2">
      <c r="E1691" s="9"/>
    </row>
    <row r="1692" spans="5:5" x14ac:dyDescent="0.2">
      <c r="E1692" s="9"/>
    </row>
    <row r="1693" spans="5:5" x14ac:dyDescent="0.2">
      <c r="E1693" s="9"/>
    </row>
    <row r="1694" spans="5:5" x14ac:dyDescent="0.2">
      <c r="E1694" s="9"/>
    </row>
    <row r="1695" spans="5:5" x14ac:dyDescent="0.2">
      <c r="E1695" s="9"/>
    </row>
    <row r="1696" spans="5:5" x14ac:dyDescent="0.2">
      <c r="E1696" s="9"/>
    </row>
    <row r="1697" spans="5:5" x14ac:dyDescent="0.2">
      <c r="E1697" s="9"/>
    </row>
    <row r="1698" spans="5:5" x14ac:dyDescent="0.2">
      <c r="E1698" s="9"/>
    </row>
    <row r="1699" spans="5:5" x14ac:dyDescent="0.2">
      <c r="E1699" s="9"/>
    </row>
    <row r="1700" spans="5:5" x14ac:dyDescent="0.2">
      <c r="E1700" s="9"/>
    </row>
    <row r="1701" spans="5:5" x14ac:dyDescent="0.2">
      <c r="E1701" s="9"/>
    </row>
    <row r="1702" spans="5:5" x14ac:dyDescent="0.2">
      <c r="E1702" s="9"/>
    </row>
    <row r="1703" spans="5:5" x14ac:dyDescent="0.2">
      <c r="E1703" s="9"/>
    </row>
    <row r="1704" spans="5:5" x14ac:dyDescent="0.2">
      <c r="E1704" s="9"/>
    </row>
    <row r="1705" spans="5:5" x14ac:dyDescent="0.2">
      <c r="E1705" s="9"/>
    </row>
    <row r="1706" spans="5:5" x14ac:dyDescent="0.2">
      <c r="E1706" s="9"/>
    </row>
    <row r="1707" spans="5:5" x14ac:dyDescent="0.2">
      <c r="E1707" s="9"/>
    </row>
    <row r="1708" spans="5:5" x14ac:dyDescent="0.2">
      <c r="E1708" s="9"/>
    </row>
    <row r="1709" spans="5:5" x14ac:dyDescent="0.2">
      <c r="E1709" s="9"/>
    </row>
    <row r="1710" spans="5:5" x14ac:dyDescent="0.2">
      <c r="E1710" s="9"/>
    </row>
    <row r="1711" spans="5:5" x14ac:dyDescent="0.2">
      <c r="E1711" s="9"/>
    </row>
    <row r="1712" spans="5:5" x14ac:dyDescent="0.2">
      <c r="E1712" s="9"/>
    </row>
    <row r="1713" spans="5:5" x14ac:dyDescent="0.2">
      <c r="E1713" s="9"/>
    </row>
    <row r="1714" spans="5:5" x14ac:dyDescent="0.2">
      <c r="E1714" s="9"/>
    </row>
    <row r="1715" spans="5:5" x14ac:dyDescent="0.2">
      <c r="E1715" s="9"/>
    </row>
    <row r="1716" spans="5:5" x14ac:dyDescent="0.2">
      <c r="E1716" s="9"/>
    </row>
    <row r="1717" spans="5:5" x14ac:dyDescent="0.2">
      <c r="E1717" s="9"/>
    </row>
    <row r="1718" spans="5:5" x14ac:dyDescent="0.2">
      <c r="E1718" s="9"/>
    </row>
    <row r="1719" spans="5:5" x14ac:dyDescent="0.2">
      <c r="E1719" s="9"/>
    </row>
    <row r="1720" spans="5:5" x14ac:dyDescent="0.2">
      <c r="E1720" s="9"/>
    </row>
    <row r="1721" spans="5:5" x14ac:dyDescent="0.2">
      <c r="E1721" s="9"/>
    </row>
    <row r="1722" spans="5:5" x14ac:dyDescent="0.2">
      <c r="E1722" s="9"/>
    </row>
    <row r="1723" spans="5:5" x14ac:dyDescent="0.2">
      <c r="E1723" s="9"/>
    </row>
    <row r="1724" spans="5:5" x14ac:dyDescent="0.2">
      <c r="E1724" s="9"/>
    </row>
    <row r="1725" spans="5:5" x14ac:dyDescent="0.2">
      <c r="E1725" s="9"/>
    </row>
    <row r="1726" spans="5:5" x14ac:dyDescent="0.2">
      <c r="E1726" s="9"/>
    </row>
    <row r="1727" spans="5:5" x14ac:dyDescent="0.2">
      <c r="E1727" s="9"/>
    </row>
    <row r="1728" spans="5:5" x14ac:dyDescent="0.2">
      <c r="E1728" s="9"/>
    </row>
    <row r="1729" spans="5:5" x14ac:dyDescent="0.2">
      <c r="E1729" s="9"/>
    </row>
    <row r="1730" spans="5:5" x14ac:dyDescent="0.2">
      <c r="E1730" s="9"/>
    </row>
    <row r="1731" spans="5:5" x14ac:dyDescent="0.2">
      <c r="E1731" s="9"/>
    </row>
    <row r="1732" spans="5:5" x14ac:dyDescent="0.2">
      <c r="E1732" s="9"/>
    </row>
    <row r="1733" spans="5:5" x14ac:dyDescent="0.2">
      <c r="E1733" s="9"/>
    </row>
    <row r="1734" spans="5:5" x14ac:dyDescent="0.2">
      <c r="E1734" s="9"/>
    </row>
    <row r="1735" spans="5:5" x14ac:dyDescent="0.2">
      <c r="E1735" s="9"/>
    </row>
    <row r="1736" spans="5:5" x14ac:dyDescent="0.2">
      <c r="E1736" s="9"/>
    </row>
    <row r="1737" spans="5:5" x14ac:dyDescent="0.2">
      <c r="E1737" s="9"/>
    </row>
    <row r="1738" spans="5:5" x14ac:dyDescent="0.2">
      <c r="E1738" s="9"/>
    </row>
    <row r="1739" spans="5:5" x14ac:dyDescent="0.2">
      <c r="E1739" s="9"/>
    </row>
    <row r="1740" spans="5:5" x14ac:dyDescent="0.2">
      <c r="E1740" s="9"/>
    </row>
    <row r="1741" spans="5:5" x14ac:dyDescent="0.2">
      <c r="E1741" s="9"/>
    </row>
    <row r="1742" spans="5:5" x14ac:dyDescent="0.2">
      <c r="E1742" s="9"/>
    </row>
    <row r="1743" spans="5:5" x14ac:dyDescent="0.2">
      <c r="E1743" s="9"/>
    </row>
    <row r="1744" spans="5:5" x14ac:dyDescent="0.2">
      <c r="E1744" s="9"/>
    </row>
    <row r="1745" spans="5:5" x14ac:dyDescent="0.2">
      <c r="E1745" s="9"/>
    </row>
    <row r="1746" spans="5:5" x14ac:dyDescent="0.2">
      <c r="E1746" s="9"/>
    </row>
    <row r="1747" spans="5:5" x14ac:dyDescent="0.2">
      <c r="E1747" s="9"/>
    </row>
    <row r="1748" spans="5:5" x14ac:dyDescent="0.2">
      <c r="E1748" s="9"/>
    </row>
    <row r="1749" spans="5:5" x14ac:dyDescent="0.2">
      <c r="E1749" s="9"/>
    </row>
    <row r="1750" spans="5:5" x14ac:dyDescent="0.2">
      <c r="E1750" s="9"/>
    </row>
    <row r="1751" spans="5:5" x14ac:dyDescent="0.2">
      <c r="E1751" s="9"/>
    </row>
    <row r="1752" spans="5:5" x14ac:dyDescent="0.2">
      <c r="E1752" s="9"/>
    </row>
    <row r="1753" spans="5:5" x14ac:dyDescent="0.2">
      <c r="E1753" s="9"/>
    </row>
    <row r="1754" spans="5:5" x14ac:dyDescent="0.2">
      <c r="E1754" s="9"/>
    </row>
    <row r="1755" spans="5:5" x14ac:dyDescent="0.2">
      <c r="E1755" s="9"/>
    </row>
    <row r="1756" spans="5:5" x14ac:dyDescent="0.2">
      <c r="E1756" s="9"/>
    </row>
    <row r="1757" spans="5:5" x14ac:dyDescent="0.2">
      <c r="E1757" s="9"/>
    </row>
    <row r="1758" spans="5:5" x14ac:dyDescent="0.2">
      <c r="E1758" s="9"/>
    </row>
    <row r="1759" spans="5:5" x14ac:dyDescent="0.2">
      <c r="E1759" s="9"/>
    </row>
    <row r="1760" spans="5:5" x14ac:dyDescent="0.2">
      <c r="E1760" s="9"/>
    </row>
    <row r="1761" spans="5:5" x14ac:dyDescent="0.2">
      <c r="E1761" s="9"/>
    </row>
    <row r="1762" spans="5:5" x14ac:dyDescent="0.2">
      <c r="E1762" s="9"/>
    </row>
    <row r="1763" spans="5:5" x14ac:dyDescent="0.2">
      <c r="E1763" s="9"/>
    </row>
    <row r="1764" spans="5:5" x14ac:dyDescent="0.2">
      <c r="E1764" s="9"/>
    </row>
    <row r="1765" spans="5:5" x14ac:dyDescent="0.2">
      <c r="E1765" s="9"/>
    </row>
    <row r="1766" spans="5:5" x14ac:dyDescent="0.2">
      <c r="E1766" s="9"/>
    </row>
    <row r="1767" spans="5:5" x14ac:dyDescent="0.2">
      <c r="E1767" s="9"/>
    </row>
    <row r="1768" spans="5:5" x14ac:dyDescent="0.2">
      <c r="E1768" s="9"/>
    </row>
    <row r="1769" spans="5:5" x14ac:dyDescent="0.2">
      <c r="E1769" s="9"/>
    </row>
    <row r="1770" spans="5:5" x14ac:dyDescent="0.2">
      <c r="E1770" s="9"/>
    </row>
    <row r="1771" spans="5:5" x14ac:dyDescent="0.2">
      <c r="E1771" s="9"/>
    </row>
    <row r="1772" spans="5:5" x14ac:dyDescent="0.2">
      <c r="E1772" s="9"/>
    </row>
    <row r="1773" spans="5:5" x14ac:dyDescent="0.2">
      <c r="E1773" s="9"/>
    </row>
    <row r="1774" spans="5:5" x14ac:dyDescent="0.2">
      <c r="E1774" s="9"/>
    </row>
    <row r="1775" spans="5:5" x14ac:dyDescent="0.2">
      <c r="E1775" s="9"/>
    </row>
    <row r="1776" spans="5:5" x14ac:dyDescent="0.2">
      <c r="E1776" s="9"/>
    </row>
    <row r="1777" spans="5:5" x14ac:dyDescent="0.2">
      <c r="E1777" s="9"/>
    </row>
    <row r="1778" spans="5:5" x14ac:dyDescent="0.2">
      <c r="E1778" s="9"/>
    </row>
    <row r="1779" spans="5:5" x14ac:dyDescent="0.2">
      <c r="E1779" s="9"/>
    </row>
    <row r="1780" spans="5:5" x14ac:dyDescent="0.2">
      <c r="E1780" s="9"/>
    </row>
    <row r="1781" spans="5:5" x14ac:dyDescent="0.2">
      <c r="E1781" s="9"/>
    </row>
    <row r="1782" spans="5:5" x14ac:dyDescent="0.2">
      <c r="E1782" s="9"/>
    </row>
    <row r="1783" spans="5:5" x14ac:dyDescent="0.2">
      <c r="E1783" s="9"/>
    </row>
    <row r="1784" spans="5:5" x14ac:dyDescent="0.2">
      <c r="E1784" s="9"/>
    </row>
    <row r="1785" spans="5:5" x14ac:dyDescent="0.2">
      <c r="E1785" s="9"/>
    </row>
    <row r="1786" spans="5:5" x14ac:dyDescent="0.2">
      <c r="E1786" s="9"/>
    </row>
    <row r="1787" spans="5:5" x14ac:dyDescent="0.2">
      <c r="E1787" s="9"/>
    </row>
    <row r="1788" spans="5:5" x14ac:dyDescent="0.2">
      <c r="E1788" s="9"/>
    </row>
    <row r="1789" spans="5:5" x14ac:dyDescent="0.2">
      <c r="E1789" s="9"/>
    </row>
    <row r="1790" spans="5:5" x14ac:dyDescent="0.2">
      <c r="E1790" s="9"/>
    </row>
    <row r="1791" spans="5:5" x14ac:dyDescent="0.2">
      <c r="E1791" s="9"/>
    </row>
    <row r="1792" spans="5:5" x14ac:dyDescent="0.2">
      <c r="E1792" s="9"/>
    </row>
    <row r="1793" spans="5:5" x14ac:dyDescent="0.2">
      <c r="E1793" s="9"/>
    </row>
    <row r="1794" spans="5:5" x14ac:dyDescent="0.2">
      <c r="E1794" s="9"/>
    </row>
    <row r="1795" spans="5:5" x14ac:dyDescent="0.2">
      <c r="E1795" s="9"/>
    </row>
    <row r="1796" spans="5:5" x14ac:dyDescent="0.2">
      <c r="E1796" s="9"/>
    </row>
    <row r="1797" spans="5:5" x14ac:dyDescent="0.2">
      <c r="E1797" s="9"/>
    </row>
    <row r="1798" spans="5:5" x14ac:dyDescent="0.2">
      <c r="E1798" s="9"/>
    </row>
    <row r="1799" spans="5:5" x14ac:dyDescent="0.2">
      <c r="E1799" s="9"/>
    </row>
    <row r="1800" spans="5:5" x14ac:dyDescent="0.2">
      <c r="E1800" s="9"/>
    </row>
    <row r="1801" spans="5:5" x14ac:dyDescent="0.2">
      <c r="E1801" s="9"/>
    </row>
    <row r="1802" spans="5:5" x14ac:dyDescent="0.2">
      <c r="E1802" s="9"/>
    </row>
    <row r="1803" spans="5:5" x14ac:dyDescent="0.2">
      <c r="E1803" s="9"/>
    </row>
    <row r="1804" spans="5:5" x14ac:dyDescent="0.2">
      <c r="E1804" s="9"/>
    </row>
    <row r="1805" spans="5:5" x14ac:dyDescent="0.2">
      <c r="E1805" s="9"/>
    </row>
    <row r="1806" spans="5:5" x14ac:dyDescent="0.2">
      <c r="E1806" s="9"/>
    </row>
    <row r="1807" spans="5:5" x14ac:dyDescent="0.2">
      <c r="E1807" s="9"/>
    </row>
    <row r="1808" spans="5:5" x14ac:dyDescent="0.2">
      <c r="E1808" s="9"/>
    </row>
    <row r="1809" spans="5:5" x14ac:dyDescent="0.2">
      <c r="E1809" s="9"/>
    </row>
    <row r="1810" spans="5:5" x14ac:dyDescent="0.2">
      <c r="E1810" s="9"/>
    </row>
    <row r="1811" spans="5:5" x14ac:dyDescent="0.2">
      <c r="E1811" s="9"/>
    </row>
    <row r="1812" spans="5:5" x14ac:dyDescent="0.2">
      <c r="E1812" s="9"/>
    </row>
    <row r="1813" spans="5:5" x14ac:dyDescent="0.2">
      <c r="E1813" s="9"/>
    </row>
    <row r="1814" spans="5:5" x14ac:dyDescent="0.2">
      <c r="E1814" s="9"/>
    </row>
    <row r="1815" spans="5:5" x14ac:dyDescent="0.2">
      <c r="E1815" s="9"/>
    </row>
    <row r="1816" spans="5:5" x14ac:dyDescent="0.2">
      <c r="E1816" s="9"/>
    </row>
    <row r="1817" spans="5:5" x14ac:dyDescent="0.2">
      <c r="E1817" s="9"/>
    </row>
    <row r="1818" spans="5:5" x14ac:dyDescent="0.2">
      <c r="E1818" s="9"/>
    </row>
    <row r="1819" spans="5:5" x14ac:dyDescent="0.2">
      <c r="E1819" s="9"/>
    </row>
    <row r="1820" spans="5:5" x14ac:dyDescent="0.2">
      <c r="E1820" s="9"/>
    </row>
    <row r="1821" spans="5:5" x14ac:dyDescent="0.2">
      <c r="E1821" s="9"/>
    </row>
    <row r="1822" spans="5:5" x14ac:dyDescent="0.2">
      <c r="E1822" s="9"/>
    </row>
    <row r="1823" spans="5:5" x14ac:dyDescent="0.2">
      <c r="E1823" s="9"/>
    </row>
    <row r="1824" spans="5:5" x14ac:dyDescent="0.2">
      <c r="E1824" s="9"/>
    </row>
    <row r="1825" spans="5:5" x14ac:dyDescent="0.2">
      <c r="E1825" s="9"/>
    </row>
    <row r="1826" spans="5:5" x14ac:dyDescent="0.2">
      <c r="E1826" s="9"/>
    </row>
    <row r="1827" spans="5:5" x14ac:dyDescent="0.2">
      <c r="E1827" s="9"/>
    </row>
    <row r="1828" spans="5:5" x14ac:dyDescent="0.2">
      <c r="E1828" s="9"/>
    </row>
    <row r="1829" spans="5:5" x14ac:dyDescent="0.2">
      <c r="E1829" s="9"/>
    </row>
    <row r="1830" spans="5:5" x14ac:dyDescent="0.2">
      <c r="E1830" s="9"/>
    </row>
    <row r="1831" spans="5:5" x14ac:dyDescent="0.2">
      <c r="E1831" s="9"/>
    </row>
    <row r="1832" spans="5:5" x14ac:dyDescent="0.2">
      <c r="E1832" s="9"/>
    </row>
    <row r="1833" spans="5:5" x14ac:dyDescent="0.2">
      <c r="E1833" s="9"/>
    </row>
    <row r="1834" spans="5:5" x14ac:dyDescent="0.2">
      <c r="E1834" s="9"/>
    </row>
    <row r="1835" spans="5:5" x14ac:dyDescent="0.2">
      <c r="E1835" s="9"/>
    </row>
    <row r="1836" spans="5:5" x14ac:dyDescent="0.2">
      <c r="E1836" s="9"/>
    </row>
    <row r="1837" spans="5:5" x14ac:dyDescent="0.2">
      <c r="E1837" s="9"/>
    </row>
    <row r="1838" spans="5:5" x14ac:dyDescent="0.2">
      <c r="E1838" s="9"/>
    </row>
    <row r="1839" spans="5:5" x14ac:dyDescent="0.2">
      <c r="E1839" s="9"/>
    </row>
    <row r="1840" spans="5:5" x14ac:dyDescent="0.2">
      <c r="E1840" s="9"/>
    </row>
    <row r="1841" spans="5:5" x14ac:dyDescent="0.2">
      <c r="E1841" s="9"/>
    </row>
    <row r="1842" spans="5:5" x14ac:dyDescent="0.2">
      <c r="E1842" s="9"/>
    </row>
    <row r="1843" spans="5:5" x14ac:dyDescent="0.2">
      <c r="E1843" s="9"/>
    </row>
    <row r="1844" spans="5:5" x14ac:dyDescent="0.2">
      <c r="E1844" s="9"/>
    </row>
    <row r="1845" spans="5:5" x14ac:dyDescent="0.2">
      <c r="E1845" s="9"/>
    </row>
    <row r="1846" spans="5:5" x14ac:dyDescent="0.2">
      <c r="E1846" s="9"/>
    </row>
    <row r="1847" spans="5:5" x14ac:dyDescent="0.2">
      <c r="E1847" s="9"/>
    </row>
    <row r="1848" spans="5:5" x14ac:dyDescent="0.2">
      <c r="E1848" s="9"/>
    </row>
    <row r="1849" spans="5:5" x14ac:dyDescent="0.2">
      <c r="E1849" s="9"/>
    </row>
    <row r="1850" spans="5:5" x14ac:dyDescent="0.2">
      <c r="E1850" s="9"/>
    </row>
    <row r="1851" spans="5:5" x14ac:dyDescent="0.2">
      <c r="E1851" s="9"/>
    </row>
    <row r="1852" spans="5:5" x14ac:dyDescent="0.2">
      <c r="E1852" s="9"/>
    </row>
    <row r="1853" spans="5:5" x14ac:dyDescent="0.2">
      <c r="E1853" s="9"/>
    </row>
    <row r="1854" spans="5:5" x14ac:dyDescent="0.2">
      <c r="E1854" s="9"/>
    </row>
    <row r="1855" spans="5:5" x14ac:dyDescent="0.2">
      <c r="E1855" s="9"/>
    </row>
    <row r="1856" spans="5:5" x14ac:dyDescent="0.2">
      <c r="E1856" s="9"/>
    </row>
    <row r="1857" spans="5:5" x14ac:dyDescent="0.2">
      <c r="E1857" s="9"/>
    </row>
    <row r="1858" spans="5:5" x14ac:dyDescent="0.2">
      <c r="E1858" s="9"/>
    </row>
    <row r="1859" spans="5:5" x14ac:dyDescent="0.2">
      <c r="E1859" s="9"/>
    </row>
    <row r="1860" spans="5:5" x14ac:dyDescent="0.2">
      <c r="E1860" s="9"/>
    </row>
    <row r="1861" spans="5:5" x14ac:dyDescent="0.2">
      <c r="E1861" s="9"/>
    </row>
    <row r="1862" spans="5:5" x14ac:dyDescent="0.2">
      <c r="E1862" s="9"/>
    </row>
    <row r="1863" spans="5:5" x14ac:dyDescent="0.2">
      <c r="E1863" s="9"/>
    </row>
    <row r="1864" spans="5:5" x14ac:dyDescent="0.2">
      <c r="E1864" s="9"/>
    </row>
    <row r="1865" spans="5:5" x14ac:dyDescent="0.2">
      <c r="E1865" s="9"/>
    </row>
    <row r="1866" spans="5:5" x14ac:dyDescent="0.2">
      <c r="E1866" s="9"/>
    </row>
    <row r="1867" spans="5:5" x14ac:dyDescent="0.2">
      <c r="E1867" s="9"/>
    </row>
    <row r="1868" spans="5:5" x14ac:dyDescent="0.2">
      <c r="E1868" s="9"/>
    </row>
    <row r="1869" spans="5:5" x14ac:dyDescent="0.2">
      <c r="E1869" s="9"/>
    </row>
    <row r="1870" spans="5:5" x14ac:dyDescent="0.2">
      <c r="E1870" s="9"/>
    </row>
    <row r="1871" spans="5:5" x14ac:dyDescent="0.2">
      <c r="E1871" s="9"/>
    </row>
    <row r="1872" spans="5:5" x14ac:dyDescent="0.2">
      <c r="E1872" s="9"/>
    </row>
    <row r="1873" spans="5:5" x14ac:dyDescent="0.2">
      <c r="E1873" s="9"/>
    </row>
    <row r="1874" spans="5:5" x14ac:dyDescent="0.2">
      <c r="E1874" s="9"/>
    </row>
    <row r="1875" spans="5:5" x14ac:dyDescent="0.2">
      <c r="E1875" s="9"/>
    </row>
    <row r="1876" spans="5:5" x14ac:dyDescent="0.2">
      <c r="E1876" s="9"/>
    </row>
    <row r="1877" spans="5:5" x14ac:dyDescent="0.2">
      <c r="E1877" s="9"/>
    </row>
    <row r="1878" spans="5:5" x14ac:dyDescent="0.2">
      <c r="E1878" s="9"/>
    </row>
    <row r="1879" spans="5:5" x14ac:dyDescent="0.2">
      <c r="E1879" s="9"/>
    </row>
    <row r="1880" spans="5:5" x14ac:dyDescent="0.2">
      <c r="E1880" s="9"/>
    </row>
    <row r="1881" spans="5:5" x14ac:dyDescent="0.2">
      <c r="E1881" s="9"/>
    </row>
    <row r="1882" spans="5:5" x14ac:dyDescent="0.2">
      <c r="E1882" s="9"/>
    </row>
    <row r="1883" spans="5:5" x14ac:dyDescent="0.2">
      <c r="E1883" s="9"/>
    </row>
    <row r="1884" spans="5:5" x14ac:dyDescent="0.2">
      <c r="E1884" s="9"/>
    </row>
    <row r="1885" spans="5:5" x14ac:dyDescent="0.2">
      <c r="E1885" s="9"/>
    </row>
    <row r="1886" spans="5:5" x14ac:dyDescent="0.2">
      <c r="E1886" s="9"/>
    </row>
    <row r="1887" spans="5:5" x14ac:dyDescent="0.2">
      <c r="E1887" s="9"/>
    </row>
    <row r="1888" spans="5:5" x14ac:dyDescent="0.2">
      <c r="E1888" s="9"/>
    </row>
    <row r="1889" spans="5:5" x14ac:dyDescent="0.2">
      <c r="E1889" s="9"/>
    </row>
    <row r="1890" spans="5:5" x14ac:dyDescent="0.2">
      <c r="E1890" s="9"/>
    </row>
    <row r="1891" spans="5:5" x14ac:dyDescent="0.2">
      <c r="E1891" s="9"/>
    </row>
    <row r="1892" spans="5:5" x14ac:dyDescent="0.2">
      <c r="E1892" s="9"/>
    </row>
    <row r="1893" spans="5:5" x14ac:dyDescent="0.2">
      <c r="E1893" s="9"/>
    </row>
    <row r="1894" spans="5:5" x14ac:dyDescent="0.2">
      <c r="E1894" s="9"/>
    </row>
    <row r="1895" spans="5:5" x14ac:dyDescent="0.2">
      <c r="E1895" s="9"/>
    </row>
    <row r="1896" spans="5:5" x14ac:dyDescent="0.2">
      <c r="E1896" s="9"/>
    </row>
    <row r="1897" spans="5:5" x14ac:dyDescent="0.2">
      <c r="E1897" s="9"/>
    </row>
    <row r="1898" spans="5:5" x14ac:dyDescent="0.2">
      <c r="E1898" s="9"/>
    </row>
    <row r="1899" spans="5:5" x14ac:dyDescent="0.2">
      <c r="E1899" s="9"/>
    </row>
    <row r="1900" spans="5:5" x14ac:dyDescent="0.2">
      <c r="E1900" s="9"/>
    </row>
    <row r="1901" spans="5:5" x14ac:dyDescent="0.2">
      <c r="E1901" s="9"/>
    </row>
    <row r="1902" spans="5:5" x14ac:dyDescent="0.2">
      <c r="E1902" s="9"/>
    </row>
    <row r="1903" spans="5:5" x14ac:dyDescent="0.2">
      <c r="E1903" s="9"/>
    </row>
    <row r="1904" spans="5:5" x14ac:dyDescent="0.2">
      <c r="E1904" s="9"/>
    </row>
    <row r="1905" spans="5:5" x14ac:dyDescent="0.2">
      <c r="E1905" s="9"/>
    </row>
    <row r="1906" spans="5:5" x14ac:dyDescent="0.2">
      <c r="E1906" s="9"/>
    </row>
    <row r="1907" spans="5:5" x14ac:dyDescent="0.2">
      <c r="E1907" s="9"/>
    </row>
    <row r="1908" spans="5:5" x14ac:dyDescent="0.2">
      <c r="E1908" s="9"/>
    </row>
    <row r="1909" spans="5:5" x14ac:dyDescent="0.2">
      <c r="E1909" s="9"/>
    </row>
    <row r="1910" spans="5:5" x14ac:dyDescent="0.2">
      <c r="E1910" s="9"/>
    </row>
    <row r="1911" spans="5:5" x14ac:dyDescent="0.2">
      <c r="E1911" s="9"/>
    </row>
    <row r="1912" spans="5:5" x14ac:dyDescent="0.2">
      <c r="E1912" s="9"/>
    </row>
    <row r="1913" spans="5:5" x14ac:dyDescent="0.2">
      <c r="E1913" s="9"/>
    </row>
    <row r="1914" spans="5:5" x14ac:dyDescent="0.2">
      <c r="E1914" s="9"/>
    </row>
    <row r="1915" spans="5:5" x14ac:dyDescent="0.2">
      <c r="E1915" s="9"/>
    </row>
    <row r="1916" spans="5:5" x14ac:dyDescent="0.2">
      <c r="E1916" s="9"/>
    </row>
    <row r="1917" spans="5:5" x14ac:dyDescent="0.2">
      <c r="E1917" s="9"/>
    </row>
    <row r="1918" spans="5:5" x14ac:dyDescent="0.2">
      <c r="E1918" s="9"/>
    </row>
    <row r="1919" spans="5:5" x14ac:dyDescent="0.2">
      <c r="E1919" s="9"/>
    </row>
    <row r="1920" spans="5:5" x14ac:dyDescent="0.2">
      <c r="E1920" s="9"/>
    </row>
    <row r="1921" spans="5:5" x14ac:dyDescent="0.2">
      <c r="E1921" s="9"/>
    </row>
    <row r="1922" spans="5:5" x14ac:dyDescent="0.2">
      <c r="E1922" s="9"/>
    </row>
    <row r="1923" spans="5:5" x14ac:dyDescent="0.2">
      <c r="E1923" s="9"/>
    </row>
    <row r="1924" spans="5:5" x14ac:dyDescent="0.2">
      <c r="E1924" s="9"/>
    </row>
    <row r="1925" spans="5:5" x14ac:dyDescent="0.2">
      <c r="E1925" s="9"/>
    </row>
    <row r="1926" spans="5:5" x14ac:dyDescent="0.2">
      <c r="E1926" s="9"/>
    </row>
    <row r="1927" spans="5:5" x14ac:dyDescent="0.2">
      <c r="E1927" s="9"/>
    </row>
    <row r="1928" spans="5:5" x14ac:dyDescent="0.2">
      <c r="E1928" s="9"/>
    </row>
    <row r="1929" spans="5:5" x14ac:dyDescent="0.2">
      <c r="E1929" s="9"/>
    </row>
    <row r="1930" spans="5:5" x14ac:dyDescent="0.2">
      <c r="E1930" s="9"/>
    </row>
    <row r="1931" spans="5:5" x14ac:dyDescent="0.2">
      <c r="E1931" s="9"/>
    </row>
    <row r="1932" spans="5:5" x14ac:dyDescent="0.2">
      <c r="E1932" s="9"/>
    </row>
    <row r="1933" spans="5:5" x14ac:dyDescent="0.2">
      <c r="E1933" s="9"/>
    </row>
    <row r="1934" spans="5:5" x14ac:dyDescent="0.2">
      <c r="E1934" s="9"/>
    </row>
    <row r="1935" spans="5:5" x14ac:dyDescent="0.2">
      <c r="E1935" s="9"/>
    </row>
    <row r="1936" spans="5:5" x14ac:dyDescent="0.2">
      <c r="E1936" s="9"/>
    </row>
    <row r="1937" spans="5:5" x14ac:dyDescent="0.2">
      <c r="E1937" s="9"/>
    </row>
    <row r="1938" spans="5:5" x14ac:dyDescent="0.2">
      <c r="E1938" s="9"/>
    </row>
    <row r="1939" spans="5:5" x14ac:dyDescent="0.2">
      <c r="E1939" s="9"/>
    </row>
    <row r="1940" spans="5:5" x14ac:dyDescent="0.2">
      <c r="E1940" s="9"/>
    </row>
    <row r="1941" spans="5:5" x14ac:dyDescent="0.2">
      <c r="E1941" s="9"/>
    </row>
    <row r="1942" spans="5:5" x14ac:dyDescent="0.2">
      <c r="E1942" s="9"/>
    </row>
    <row r="1943" spans="5:5" x14ac:dyDescent="0.2">
      <c r="E1943" s="9"/>
    </row>
    <row r="1944" spans="5:5" x14ac:dyDescent="0.2">
      <c r="E1944" s="9"/>
    </row>
    <row r="1945" spans="5:5" x14ac:dyDescent="0.2">
      <c r="E1945" s="9"/>
    </row>
    <row r="1946" spans="5:5" x14ac:dyDescent="0.2">
      <c r="E1946" s="9"/>
    </row>
    <row r="1947" spans="5:5" x14ac:dyDescent="0.2">
      <c r="E1947" s="9"/>
    </row>
    <row r="1948" spans="5:5" x14ac:dyDescent="0.2">
      <c r="E1948" s="9"/>
    </row>
    <row r="1949" spans="5:5" x14ac:dyDescent="0.2">
      <c r="E1949" s="9"/>
    </row>
    <row r="1950" spans="5:5" x14ac:dyDescent="0.2">
      <c r="E1950" s="9"/>
    </row>
    <row r="1951" spans="5:5" x14ac:dyDescent="0.2">
      <c r="E1951" s="9"/>
    </row>
    <row r="1952" spans="5:5" x14ac:dyDescent="0.2">
      <c r="E1952" s="9"/>
    </row>
    <row r="1953" spans="5:5" x14ac:dyDescent="0.2">
      <c r="E1953" s="9"/>
    </row>
    <row r="1954" spans="5:5" x14ac:dyDescent="0.2">
      <c r="E1954" s="9"/>
    </row>
    <row r="1955" spans="5:5" x14ac:dyDescent="0.2">
      <c r="E1955" s="9"/>
    </row>
    <row r="1956" spans="5:5" x14ac:dyDescent="0.2">
      <c r="E1956" s="9"/>
    </row>
    <row r="1957" spans="5:5" x14ac:dyDescent="0.2">
      <c r="E1957" s="9"/>
    </row>
    <row r="1958" spans="5:5" x14ac:dyDescent="0.2">
      <c r="E1958" s="9"/>
    </row>
    <row r="1959" spans="5:5" x14ac:dyDescent="0.2">
      <c r="E1959" s="9"/>
    </row>
    <row r="1960" spans="5:5" x14ac:dyDescent="0.2">
      <c r="E1960" s="9"/>
    </row>
    <row r="1961" spans="5:5" x14ac:dyDescent="0.2">
      <c r="E1961" s="9"/>
    </row>
    <row r="1962" spans="5:5" x14ac:dyDescent="0.2">
      <c r="E1962" s="9"/>
    </row>
    <row r="1963" spans="5:5" x14ac:dyDescent="0.2">
      <c r="E1963" s="9"/>
    </row>
    <row r="1964" spans="5:5" x14ac:dyDescent="0.2">
      <c r="E1964" s="9"/>
    </row>
    <row r="1965" spans="5:5" x14ac:dyDescent="0.2">
      <c r="E1965" s="9"/>
    </row>
    <row r="1966" spans="5:5" x14ac:dyDescent="0.2">
      <c r="E1966" s="9"/>
    </row>
    <row r="1967" spans="5:5" x14ac:dyDescent="0.2">
      <c r="E1967" s="9"/>
    </row>
    <row r="1968" spans="5:5" x14ac:dyDescent="0.2">
      <c r="E1968" s="9"/>
    </row>
    <row r="1969" spans="5:5" x14ac:dyDescent="0.2">
      <c r="E1969" s="9"/>
    </row>
    <row r="1970" spans="5:5" x14ac:dyDescent="0.2">
      <c r="E1970" s="9"/>
    </row>
    <row r="1971" spans="5:5" x14ac:dyDescent="0.2">
      <c r="E1971" s="9"/>
    </row>
    <row r="1972" spans="5:5" x14ac:dyDescent="0.2">
      <c r="E1972" s="9"/>
    </row>
    <row r="1973" spans="5:5" x14ac:dyDescent="0.2">
      <c r="E1973" s="9"/>
    </row>
    <row r="1974" spans="5:5" x14ac:dyDescent="0.2">
      <c r="E1974" s="9"/>
    </row>
    <row r="1975" spans="5:5" x14ac:dyDescent="0.2">
      <c r="E1975" s="9"/>
    </row>
    <row r="1976" spans="5:5" x14ac:dyDescent="0.2">
      <c r="E1976" s="9"/>
    </row>
    <row r="1977" spans="5:5" x14ac:dyDescent="0.2">
      <c r="E1977" s="9"/>
    </row>
    <row r="1978" spans="5:5" x14ac:dyDescent="0.2">
      <c r="E1978" s="9"/>
    </row>
    <row r="1979" spans="5:5" x14ac:dyDescent="0.2">
      <c r="E1979" s="9"/>
    </row>
    <row r="1980" spans="5:5" x14ac:dyDescent="0.2">
      <c r="E1980" s="9"/>
    </row>
    <row r="1981" spans="5:5" x14ac:dyDescent="0.2">
      <c r="E1981" s="9"/>
    </row>
    <row r="1982" spans="5:5" x14ac:dyDescent="0.2">
      <c r="E1982" s="9"/>
    </row>
    <row r="1983" spans="5:5" x14ac:dyDescent="0.2">
      <c r="E1983" s="9"/>
    </row>
    <row r="1984" spans="5:5" x14ac:dyDescent="0.2">
      <c r="E1984" s="9"/>
    </row>
    <row r="1985" spans="5:5" x14ac:dyDescent="0.2">
      <c r="E1985" s="9"/>
    </row>
    <row r="1986" spans="5:5" x14ac:dyDescent="0.2">
      <c r="E1986" s="9"/>
    </row>
    <row r="1987" spans="5:5" x14ac:dyDescent="0.2">
      <c r="E1987" s="9"/>
    </row>
    <row r="1988" spans="5:5" x14ac:dyDescent="0.2">
      <c r="E1988" s="9"/>
    </row>
    <row r="1989" spans="5:5" x14ac:dyDescent="0.2">
      <c r="E1989" s="9"/>
    </row>
    <row r="1990" spans="5:5" x14ac:dyDescent="0.2">
      <c r="E1990" s="9"/>
    </row>
    <row r="1991" spans="5:5" x14ac:dyDescent="0.2">
      <c r="E1991" s="9"/>
    </row>
    <row r="1992" spans="5:5" x14ac:dyDescent="0.2">
      <c r="E1992" s="9"/>
    </row>
    <row r="1993" spans="5:5" x14ac:dyDescent="0.2">
      <c r="E1993" s="9"/>
    </row>
    <row r="1994" spans="5:5" x14ac:dyDescent="0.2">
      <c r="E1994" s="9"/>
    </row>
    <row r="1995" spans="5:5" x14ac:dyDescent="0.2">
      <c r="E1995" s="9"/>
    </row>
    <row r="1996" spans="5:5" x14ac:dyDescent="0.2">
      <c r="E1996" s="9"/>
    </row>
    <row r="1997" spans="5:5" x14ac:dyDescent="0.2">
      <c r="E1997" s="9"/>
    </row>
    <row r="1998" spans="5:5" x14ac:dyDescent="0.2">
      <c r="E1998" s="9"/>
    </row>
    <row r="1999" spans="5:5" x14ac:dyDescent="0.2">
      <c r="E1999" s="9"/>
    </row>
    <row r="2000" spans="5:5" x14ac:dyDescent="0.2">
      <c r="E2000" s="9"/>
    </row>
    <row r="2001" spans="5:5" x14ac:dyDescent="0.2">
      <c r="E2001" s="9"/>
    </row>
    <row r="2002" spans="5:5" x14ac:dyDescent="0.2">
      <c r="E2002" s="9"/>
    </row>
    <row r="2003" spans="5:5" x14ac:dyDescent="0.2">
      <c r="E2003" s="9"/>
    </row>
    <row r="2004" spans="5:5" x14ac:dyDescent="0.2">
      <c r="E2004" s="9"/>
    </row>
    <row r="2005" spans="5:5" x14ac:dyDescent="0.2">
      <c r="E2005" s="9"/>
    </row>
    <row r="2006" spans="5:5" x14ac:dyDescent="0.2">
      <c r="E2006" s="9"/>
    </row>
    <row r="2007" spans="5:5" x14ac:dyDescent="0.2">
      <c r="E2007" s="9"/>
    </row>
    <row r="2008" spans="5:5" x14ac:dyDescent="0.2">
      <c r="E2008" s="9"/>
    </row>
    <row r="2009" spans="5:5" x14ac:dyDescent="0.2">
      <c r="E2009" s="9"/>
    </row>
    <row r="2010" spans="5:5" x14ac:dyDescent="0.2">
      <c r="E2010" s="9"/>
    </row>
    <row r="2011" spans="5:5" x14ac:dyDescent="0.2">
      <c r="E2011" s="9"/>
    </row>
    <row r="2012" spans="5:5" x14ac:dyDescent="0.2">
      <c r="E2012" s="9"/>
    </row>
    <row r="2013" spans="5:5" x14ac:dyDescent="0.2">
      <c r="E2013" s="9"/>
    </row>
    <row r="2014" spans="5:5" x14ac:dyDescent="0.2">
      <c r="E2014" s="9"/>
    </row>
    <row r="2015" spans="5:5" x14ac:dyDescent="0.2">
      <c r="E2015" s="9"/>
    </row>
    <row r="2016" spans="5:5" x14ac:dyDescent="0.2">
      <c r="E2016" s="9"/>
    </row>
    <row r="2017" spans="5:5" x14ac:dyDescent="0.2">
      <c r="E2017" s="9"/>
    </row>
    <row r="2018" spans="5:5" x14ac:dyDescent="0.2">
      <c r="E2018" s="9"/>
    </row>
    <row r="2019" spans="5:5" x14ac:dyDescent="0.2">
      <c r="E2019" s="9"/>
    </row>
    <row r="2020" spans="5:5" x14ac:dyDescent="0.2">
      <c r="E2020" s="9"/>
    </row>
    <row r="2021" spans="5:5" x14ac:dyDescent="0.2">
      <c r="E2021" s="9"/>
    </row>
    <row r="2022" spans="5:5" x14ac:dyDescent="0.2">
      <c r="E2022" s="9"/>
    </row>
    <row r="2023" spans="5:5" x14ac:dyDescent="0.2">
      <c r="E2023" s="9"/>
    </row>
    <row r="2024" spans="5:5" x14ac:dyDescent="0.2">
      <c r="E2024" s="9"/>
    </row>
    <row r="2025" spans="5:5" x14ac:dyDescent="0.2">
      <c r="E2025" s="9"/>
    </row>
    <row r="2026" spans="5:5" x14ac:dyDescent="0.2">
      <c r="E2026" s="9"/>
    </row>
    <row r="2027" spans="5:5" x14ac:dyDescent="0.2">
      <c r="E2027" s="9"/>
    </row>
    <row r="2028" spans="5:5" x14ac:dyDescent="0.2">
      <c r="E2028" s="9"/>
    </row>
    <row r="2029" spans="5:5" x14ac:dyDescent="0.2">
      <c r="E2029" s="9"/>
    </row>
    <row r="2030" spans="5:5" x14ac:dyDescent="0.2">
      <c r="E2030" s="9"/>
    </row>
    <row r="2031" spans="5:5" x14ac:dyDescent="0.2">
      <c r="E2031" s="9"/>
    </row>
    <row r="2032" spans="5:5" x14ac:dyDescent="0.2">
      <c r="E2032" s="9"/>
    </row>
    <row r="2033" spans="5:5" x14ac:dyDescent="0.2">
      <c r="E2033" s="9"/>
    </row>
    <row r="2034" spans="5:5" x14ac:dyDescent="0.2">
      <c r="E2034" s="9"/>
    </row>
    <row r="2035" spans="5:5" x14ac:dyDescent="0.2">
      <c r="E2035" s="9"/>
    </row>
    <row r="2036" spans="5:5" x14ac:dyDescent="0.2">
      <c r="E2036" s="9"/>
    </row>
    <row r="2037" spans="5:5" x14ac:dyDescent="0.2">
      <c r="E2037" s="9"/>
    </row>
    <row r="2038" spans="5:5" x14ac:dyDescent="0.2">
      <c r="E2038" s="9"/>
    </row>
    <row r="2039" spans="5:5" x14ac:dyDescent="0.2">
      <c r="E2039" s="9"/>
    </row>
    <row r="2040" spans="5:5" x14ac:dyDescent="0.2">
      <c r="E2040" s="9"/>
    </row>
    <row r="2041" spans="5:5" x14ac:dyDescent="0.2">
      <c r="E2041" s="9"/>
    </row>
    <row r="2042" spans="5:5" x14ac:dyDescent="0.2">
      <c r="E2042" s="9"/>
    </row>
    <row r="2043" spans="5:5" x14ac:dyDescent="0.2">
      <c r="E2043" s="9"/>
    </row>
    <row r="2044" spans="5:5" x14ac:dyDescent="0.2">
      <c r="E2044" s="9"/>
    </row>
    <row r="2045" spans="5:5" x14ac:dyDescent="0.2">
      <c r="E2045" s="9"/>
    </row>
    <row r="2046" spans="5:5" x14ac:dyDescent="0.2">
      <c r="E2046" s="9"/>
    </row>
    <row r="2047" spans="5:5" x14ac:dyDescent="0.2">
      <c r="E2047" s="9"/>
    </row>
    <row r="2048" spans="5:5" x14ac:dyDescent="0.2">
      <c r="E2048" s="9"/>
    </row>
    <row r="2049" spans="5:5" x14ac:dyDescent="0.2">
      <c r="E2049" s="9"/>
    </row>
    <row r="2050" spans="5:5" x14ac:dyDescent="0.2">
      <c r="E2050" s="9"/>
    </row>
    <row r="2051" spans="5:5" x14ac:dyDescent="0.2">
      <c r="E2051" s="9"/>
    </row>
    <row r="2052" spans="5:5" x14ac:dyDescent="0.2">
      <c r="E2052" s="9"/>
    </row>
    <row r="2053" spans="5:5" x14ac:dyDescent="0.2">
      <c r="E2053" s="9"/>
    </row>
    <row r="2054" spans="5:5" x14ac:dyDescent="0.2">
      <c r="E2054" s="9"/>
    </row>
    <row r="2055" spans="5:5" x14ac:dyDescent="0.2">
      <c r="E2055" s="9"/>
    </row>
    <row r="2056" spans="5:5" x14ac:dyDescent="0.2">
      <c r="E2056" s="9"/>
    </row>
    <row r="2057" spans="5:5" x14ac:dyDescent="0.2">
      <c r="E2057" s="9"/>
    </row>
    <row r="2058" spans="5:5" x14ac:dyDescent="0.2">
      <c r="E2058" s="9"/>
    </row>
    <row r="2059" spans="5:5" x14ac:dyDescent="0.2">
      <c r="E2059" s="9"/>
    </row>
    <row r="2060" spans="5:5" x14ac:dyDescent="0.2">
      <c r="E2060" s="9"/>
    </row>
    <row r="2061" spans="5:5" x14ac:dyDescent="0.2">
      <c r="E2061" s="9"/>
    </row>
    <row r="2062" spans="5:5" x14ac:dyDescent="0.2">
      <c r="E2062" s="9"/>
    </row>
    <row r="2063" spans="5:5" x14ac:dyDescent="0.2">
      <c r="E2063" s="9"/>
    </row>
    <row r="2064" spans="5:5" x14ac:dyDescent="0.2">
      <c r="E2064" s="9"/>
    </row>
    <row r="2065" spans="5:5" x14ac:dyDescent="0.2">
      <c r="E2065" s="9"/>
    </row>
    <row r="2066" spans="5:5" x14ac:dyDescent="0.2">
      <c r="E2066" s="9"/>
    </row>
    <row r="2067" spans="5:5" x14ac:dyDescent="0.2">
      <c r="E2067" s="9"/>
    </row>
    <row r="2068" spans="5:5" x14ac:dyDescent="0.2">
      <c r="E2068" s="9"/>
    </row>
    <row r="2069" spans="5:5" x14ac:dyDescent="0.2">
      <c r="E2069" s="9"/>
    </row>
    <row r="2070" spans="5:5" x14ac:dyDescent="0.2">
      <c r="E2070" s="9"/>
    </row>
    <row r="2071" spans="5:5" x14ac:dyDescent="0.2">
      <c r="E2071" s="9"/>
    </row>
    <row r="2072" spans="5:5" x14ac:dyDescent="0.2">
      <c r="E2072" s="9"/>
    </row>
    <row r="2073" spans="5:5" x14ac:dyDescent="0.2">
      <c r="E2073" s="9"/>
    </row>
    <row r="2074" spans="5:5" x14ac:dyDescent="0.2">
      <c r="E2074" s="9"/>
    </row>
    <row r="2075" spans="5:5" x14ac:dyDescent="0.2">
      <c r="E2075" s="9"/>
    </row>
    <row r="2076" spans="5:5" x14ac:dyDescent="0.2">
      <c r="E2076" s="9"/>
    </row>
    <row r="2077" spans="5:5" x14ac:dyDescent="0.2">
      <c r="E2077" s="9"/>
    </row>
    <row r="2078" spans="5:5" x14ac:dyDescent="0.2">
      <c r="E2078" s="9"/>
    </row>
    <row r="2079" spans="5:5" x14ac:dyDescent="0.2">
      <c r="E2079" s="9"/>
    </row>
    <row r="2080" spans="5:5" x14ac:dyDescent="0.2">
      <c r="E2080" s="9"/>
    </row>
    <row r="2081" spans="5:5" x14ac:dyDescent="0.2">
      <c r="E2081" s="9"/>
    </row>
    <row r="2082" spans="5:5" x14ac:dyDescent="0.2">
      <c r="E2082" s="9"/>
    </row>
    <row r="2083" spans="5:5" x14ac:dyDescent="0.2">
      <c r="E2083" s="9"/>
    </row>
    <row r="2084" spans="5:5" x14ac:dyDescent="0.2">
      <c r="E2084" s="9"/>
    </row>
    <row r="2085" spans="5:5" x14ac:dyDescent="0.2">
      <c r="E2085" s="9"/>
    </row>
    <row r="2086" spans="5:5" x14ac:dyDescent="0.2">
      <c r="E2086" s="9"/>
    </row>
    <row r="2087" spans="5:5" x14ac:dyDescent="0.2">
      <c r="E2087" s="9"/>
    </row>
    <row r="2088" spans="5:5" x14ac:dyDescent="0.2">
      <c r="E2088" s="9"/>
    </row>
    <row r="2089" spans="5:5" x14ac:dyDescent="0.2">
      <c r="E2089" s="9"/>
    </row>
    <row r="2090" spans="5:5" x14ac:dyDescent="0.2">
      <c r="E2090" s="9"/>
    </row>
    <row r="2091" spans="5:5" x14ac:dyDescent="0.2">
      <c r="E2091" s="9"/>
    </row>
    <row r="2092" spans="5:5" x14ac:dyDescent="0.2">
      <c r="E2092" s="9"/>
    </row>
    <row r="2093" spans="5:5" x14ac:dyDescent="0.2">
      <c r="E2093" s="9"/>
    </row>
    <row r="2094" spans="5:5" x14ac:dyDescent="0.2">
      <c r="E2094" s="9"/>
    </row>
    <row r="2095" spans="5:5" x14ac:dyDescent="0.2">
      <c r="E2095" s="9"/>
    </row>
    <row r="2096" spans="5:5" x14ac:dyDescent="0.2">
      <c r="E2096" s="9"/>
    </row>
    <row r="2097" spans="5:5" x14ac:dyDescent="0.2">
      <c r="E2097" s="9"/>
    </row>
    <row r="2098" spans="5:5" x14ac:dyDescent="0.2">
      <c r="E2098" s="9"/>
    </row>
    <row r="2099" spans="5:5" x14ac:dyDescent="0.2">
      <c r="E2099" s="9"/>
    </row>
    <row r="2100" spans="5:5" x14ac:dyDescent="0.2">
      <c r="E2100" s="9"/>
    </row>
    <row r="2101" spans="5:5" x14ac:dyDescent="0.2">
      <c r="E2101" s="9"/>
    </row>
    <row r="2102" spans="5:5" x14ac:dyDescent="0.2">
      <c r="E2102" s="9"/>
    </row>
    <row r="2103" spans="5:5" x14ac:dyDescent="0.2">
      <c r="E2103" s="9"/>
    </row>
    <row r="2104" spans="5:5" x14ac:dyDescent="0.2">
      <c r="E2104" s="9"/>
    </row>
    <row r="2105" spans="5:5" x14ac:dyDescent="0.2">
      <c r="E2105" s="9"/>
    </row>
    <row r="2106" spans="5:5" x14ac:dyDescent="0.2">
      <c r="E2106" s="9"/>
    </row>
    <row r="2107" spans="5:5" x14ac:dyDescent="0.2">
      <c r="E2107" s="9"/>
    </row>
    <row r="2108" spans="5:5" x14ac:dyDescent="0.2">
      <c r="E2108" s="9"/>
    </row>
    <row r="2109" spans="5:5" x14ac:dyDescent="0.2">
      <c r="E2109" s="9"/>
    </row>
    <row r="2110" spans="5:5" x14ac:dyDescent="0.2">
      <c r="E2110" s="9"/>
    </row>
    <row r="2111" spans="5:5" x14ac:dyDescent="0.2">
      <c r="E2111" s="9"/>
    </row>
    <row r="2112" spans="5:5" x14ac:dyDescent="0.2">
      <c r="E2112" s="9"/>
    </row>
    <row r="2113" spans="5:5" x14ac:dyDescent="0.2">
      <c r="E2113" s="9"/>
    </row>
    <row r="2114" spans="5:5" x14ac:dyDescent="0.2">
      <c r="E2114" s="9"/>
    </row>
    <row r="2115" spans="5:5" x14ac:dyDescent="0.2">
      <c r="E2115" s="9"/>
    </row>
    <row r="2116" spans="5:5" x14ac:dyDescent="0.2">
      <c r="E2116" s="9"/>
    </row>
    <row r="2117" spans="5:5" x14ac:dyDescent="0.2">
      <c r="E2117" s="9"/>
    </row>
    <row r="2118" spans="5:5" x14ac:dyDescent="0.2">
      <c r="E2118" s="9"/>
    </row>
    <row r="2119" spans="5:5" x14ac:dyDescent="0.2">
      <c r="E2119" s="9"/>
    </row>
    <row r="2120" spans="5:5" x14ac:dyDescent="0.2">
      <c r="E2120" s="9"/>
    </row>
    <row r="2121" spans="5:5" x14ac:dyDescent="0.2">
      <c r="E2121" s="9"/>
    </row>
    <row r="2122" spans="5:5" x14ac:dyDescent="0.2">
      <c r="E2122" s="9"/>
    </row>
    <row r="2123" spans="5:5" x14ac:dyDescent="0.2">
      <c r="E2123" s="9"/>
    </row>
    <row r="2124" spans="5:5" x14ac:dyDescent="0.2">
      <c r="E2124" s="9"/>
    </row>
    <row r="2125" spans="5:5" x14ac:dyDescent="0.2">
      <c r="E2125" s="9"/>
    </row>
    <row r="2126" spans="5:5" x14ac:dyDescent="0.2">
      <c r="E2126" s="9"/>
    </row>
    <row r="2127" spans="5:5" x14ac:dyDescent="0.2">
      <c r="E2127" s="9"/>
    </row>
    <row r="2128" spans="5:5" x14ac:dyDescent="0.2">
      <c r="E2128" s="9"/>
    </row>
    <row r="2129" spans="5:5" x14ac:dyDescent="0.2">
      <c r="E2129" s="9"/>
    </row>
    <row r="2130" spans="5:5" x14ac:dyDescent="0.2">
      <c r="E2130" s="9"/>
    </row>
    <row r="2131" spans="5:5" x14ac:dyDescent="0.2">
      <c r="E2131" s="9"/>
    </row>
    <row r="2132" spans="5:5" x14ac:dyDescent="0.2">
      <c r="E2132" s="9"/>
    </row>
    <row r="2133" spans="5:5" x14ac:dyDescent="0.2">
      <c r="E2133" s="9"/>
    </row>
    <row r="2134" spans="5:5" x14ac:dyDescent="0.2">
      <c r="E2134" s="9"/>
    </row>
    <row r="2135" spans="5:5" x14ac:dyDescent="0.2">
      <c r="E2135" s="9"/>
    </row>
    <row r="2136" spans="5:5" x14ac:dyDescent="0.2">
      <c r="E2136" s="9"/>
    </row>
    <row r="2137" spans="5:5" x14ac:dyDescent="0.2">
      <c r="E2137" s="9"/>
    </row>
    <row r="2138" spans="5:5" x14ac:dyDescent="0.2">
      <c r="E2138" s="9"/>
    </row>
    <row r="2139" spans="5:5" x14ac:dyDescent="0.2">
      <c r="E2139" s="9"/>
    </row>
    <row r="2140" spans="5:5" x14ac:dyDescent="0.2">
      <c r="E2140" s="9"/>
    </row>
    <row r="2141" spans="5:5" x14ac:dyDescent="0.2">
      <c r="E2141" s="9"/>
    </row>
    <row r="2142" spans="5:5" x14ac:dyDescent="0.2">
      <c r="E2142" s="9"/>
    </row>
    <row r="2143" spans="5:5" x14ac:dyDescent="0.2">
      <c r="E2143" s="9"/>
    </row>
    <row r="2144" spans="5:5" x14ac:dyDescent="0.2">
      <c r="E2144" s="9"/>
    </row>
    <row r="2145" spans="5:5" x14ac:dyDescent="0.2">
      <c r="E2145" s="9"/>
    </row>
    <row r="2146" spans="5:5" x14ac:dyDescent="0.2">
      <c r="E2146" s="9"/>
    </row>
    <row r="2147" spans="5:5" x14ac:dyDescent="0.2">
      <c r="E2147" s="9"/>
    </row>
    <row r="2148" spans="5:5" x14ac:dyDescent="0.2">
      <c r="E2148" s="9"/>
    </row>
    <row r="2149" spans="5:5" x14ac:dyDescent="0.2">
      <c r="E2149" s="9"/>
    </row>
    <row r="2150" spans="5:5" x14ac:dyDescent="0.2">
      <c r="E2150" s="9"/>
    </row>
    <row r="2151" spans="5:5" x14ac:dyDescent="0.2">
      <c r="E2151" s="9"/>
    </row>
    <row r="2152" spans="5:5" x14ac:dyDescent="0.2">
      <c r="E2152" s="9"/>
    </row>
    <row r="2153" spans="5:5" x14ac:dyDescent="0.2">
      <c r="E2153" s="9"/>
    </row>
    <row r="2154" spans="5:5" x14ac:dyDescent="0.2">
      <c r="E2154" s="9"/>
    </row>
    <row r="2155" spans="5:5" x14ac:dyDescent="0.2">
      <c r="E2155" s="9"/>
    </row>
    <row r="2156" spans="5:5" x14ac:dyDescent="0.2">
      <c r="E2156" s="9"/>
    </row>
    <row r="2157" spans="5:5" x14ac:dyDescent="0.2">
      <c r="E2157" s="9"/>
    </row>
    <row r="2158" spans="5:5" x14ac:dyDescent="0.2">
      <c r="E2158" s="9"/>
    </row>
    <row r="2159" spans="5:5" x14ac:dyDescent="0.2">
      <c r="E2159" s="9"/>
    </row>
    <row r="2160" spans="5:5" x14ac:dyDescent="0.2">
      <c r="E2160" s="9"/>
    </row>
    <row r="2161" spans="5:5" x14ac:dyDescent="0.2">
      <c r="E2161" s="9"/>
    </row>
    <row r="2162" spans="5:5" x14ac:dyDescent="0.2">
      <c r="E2162" s="9"/>
    </row>
    <row r="2163" spans="5:5" x14ac:dyDescent="0.2">
      <c r="E2163" s="9"/>
    </row>
    <row r="2164" spans="5:5" x14ac:dyDescent="0.2">
      <c r="E2164" s="9"/>
    </row>
    <row r="2165" spans="5:5" x14ac:dyDescent="0.2">
      <c r="E2165" s="9"/>
    </row>
    <row r="2166" spans="5:5" x14ac:dyDescent="0.2">
      <c r="E2166" s="9"/>
    </row>
    <row r="2167" spans="5:5" x14ac:dyDescent="0.2">
      <c r="E2167" s="9"/>
    </row>
    <row r="2168" spans="5:5" x14ac:dyDescent="0.2">
      <c r="E2168" s="9"/>
    </row>
    <row r="2169" spans="5:5" x14ac:dyDescent="0.2">
      <c r="E2169" s="9"/>
    </row>
    <row r="2170" spans="5:5" x14ac:dyDescent="0.2">
      <c r="E2170" s="9"/>
    </row>
    <row r="2171" spans="5:5" x14ac:dyDescent="0.2">
      <c r="E2171" s="9"/>
    </row>
    <row r="2172" spans="5:5" x14ac:dyDescent="0.2">
      <c r="E2172" s="9"/>
    </row>
    <row r="2173" spans="5:5" x14ac:dyDescent="0.2">
      <c r="E2173" s="9"/>
    </row>
    <row r="2174" spans="5:5" x14ac:dyDescent="0.2">
      <c r="E2174" s="9"/>
    </row>
    <row r="2175" spans="5:5" x14ac:dyDescent="0.2">
      <c r="E2175" s="9"/>
    </row>
    <row r="2176" spans="5:5" x14ac:dyDescent="0.2">
      <c r="E2176" s="9"/>
    </row>
    <row r="2177" spans="5:5" x14ac:dyDescent="0.2">
      <c r="E2177" s="9"/>
    </row>
    <row r="2178" spans="5:5" x14ac:dyDescent="0.2">
      <c r="E2178" s="9"/>
    </row>
    <row r="2179" spans="5:5" x14ac:dyDescent="0.2">
      <c r="E2179" s="9"/>
    </row>
    <row r="2180" spans="5:5" x14ac:dyDescent="0.2">
      <c r="E2180" s="9"/>
    </row>
    <row r="2181" spans="5:5" x14ac:dyDescent="0.2">
      <c r="E2181" s="9"/>
    </row>
    <row r="2182" spans="5:5" x14ac:dyDescent="0.2">
      <c r="E2182" s="9"/>
    </row>
    <row r="2183" spans="5:5" x14ac:dyDescent="0.2">
      <c r="E2183" s="9"/>
    </row>
    <row r="2184" spans="5:5" x14ac:dyDescent="0.2">
      <c r="E2184" s="9"/>
    </row>
    <row r="2185" spans="5:5" x14ac:dyDescent="0.2">
      <c r="E2185" s="9"/>
    </row>
    <row r="2186" spans="5:5" x14ac:dyDescent="0.2">
      <c r="E2186" s="9"/>
    </row>
    <row r="2187" spans="5:5" x14ac:dyDescent="0.2">
      <c r="E2187" s="9"/>
    </row>
    <row r="2188" spans="5:5" x14ac:dyDescent="0.2">
      <c r="E2188" s="9"/>
    </row>
    <row r="2189" spans="5:5" x14ac:dyDescent="0.2">
      <c r="E2189" s="9"/>
    </row>
    <row r="2190" spans="5:5" x14ac:dyDescent="0.2">
      <c r="E2190" s="9"/>
    </row>
    <row r="2191" spans="5:5" x14ac:dyDescent="0.2">
      <c r="E2191" s="9"/>
    </row>
    <row r="2192" spans="5:5" x14ac:dyDescent="0.2">
      <c r="E2192" s="9"/>
    </row>
    <row r="2193" spans="5:5" x14ac:dyDescent="0.2">
      <c r="E2193" s="9"/>
    </row>
    <row r="2194" spans="5:5" x14ac:dyDescent="0.2">
      <c r="E2194" s="9"/>
    </row>
    <row r="2195" spans="5:5" x14ac:dyDescent="0.2">
      <c r="E2195" s="9"/>
    </row>
    <row r="2196" spans="5:5" x14ac:dyDescent="0.2">
      <c r="E2196" s="9"/>
    </row>
    <row r="2197" spans="5:5" x14ac:dyDescent="0.2">
      <c r="E2197" s="9"/>
    </row>
    <row r="2198" spans="5:5" x14ac:dyDescent="0.2">
      <c r="E2198" s="9"/>
    </row>
    <row r="2199" spans="5:5" x14ac:dyDescent="0.2">
      <c r="E2199" s="9"/>
    </row>
    <row r="2200" spans="5:5" x14ac:dyDescent="0.2">
      <c r="E2200" s="9"/>
    </row>
    <row r="2201" spans="5:5" x14ac:dyDescent="0.2">
      <c r="E2201" s="9"/>
    </row>
    <row r="2202" spans="5:5" x14ac:dyDescent="0.2">
      <c r="E2202" s="9"/>
    </row>
    <row r="2203" spans="5:5" x14ac:dyDescent="0.2">
      <c r="E2203" s="9"/>
    </row>
    <row r="2204" spans="5:5" x14ac:dyDescent="0.2">
      <c r="E2204" s="9"/>
    </row>
    <row r="2205" spans="5:5" x14ac:dyDescent="0.2">
      <c r="E2205" s="9"/>
    </row>
    <row r="2206" spans="5:5" x14ac:dyDescent="0.2">
      <c r="E2206" s="9"/>
    </row>
    <row r="2207" spans="5:5" x14ac:dyDescent="0.2">
      <c r="E2207" s="9"/>
    </row>
    <row r="2208" spans="5:5" x14ac:dyDescent="0.2">
      <c r="E2208" s="9"/>
    </row>
    <row r="2209" spans="5:5" x14ac:dyDescent="0.2">
      <c r="E2209" s="9"/>
    </row>
    <row r="2210" spans="5:5" x14ac:dyDescent="0.2">
      <c r="E2210" s="9"/>
    </row>
    <row r="2211" spans="5:5" x14ac:dyDescent="0.2">
      <c r="E2211" s="9"/>
    </row>
    <row r="2212" spans="5:5" x14ac:dyDescent="0.2">
      <c r="E2212" s="9"/>
    </row>
    <row r="2213" spans="5:5" x14ac:dyDescent="0.2">
      <c r="E2213" s="9"/>
    </row>
    <row r="2214" spans="5:5" x14ac:dyDescent="0.2">
      <c r="E2214" s="9"/>
    </row>
    <row r="2215" spans="5:5" x14ac:dyDescent="0.2">
      <c r="E2215" s="9"/>
    </row>
    <row r="2216" spans="5:5" x14ac:dyDescent="0.2">
      <c r="E2216" s="9"/>
    </row>
    <row r="2217" spans="5:5" x14ac:dyDescent="0.2">
      <c r="E2217" s="9"/>
    </row>
    <row r="2218" spans="5:5" x14ac:dyDescent="0.2">
      <c r="E2218" s="9"/>
    </row>
    <row r="2219" spans="5:5" x14ac:dyDescent="0.2">
      <c r="E2219" s="9"/>
    </row>
    <row r="2220" spans="5:5" x14ac:dyDescent="0.2">
      <c r="E2220" s="9"/>
    </row>
    <row r="2221" spans="5:5" x14ac:dyDescent="0.2">
      <c r="E2221" s="9"/>
    </row>
    <row r="2222" spans="5:5" x14ac:dyDescent="0.2">
      <c r="E2222" s="9"/>
    </row>
    <row r="2223" spans="5:5" x14ac:dyDescent="0.2">
      <c r="E2223" s="9"/>
    </row>
    <row r="2224" spans="5:5" x14ac:dyDescent="0.2">
      <c r="E2224" s="9"/>
    </row>
    <row r="2225" spans="5:5" x14ac:dyDescent="0.2">
      <c r="E2225" s="9"/>
    </row>
    <row r="2226" spans="5:5" x14ac:dyDescent="0.2">
      <c r="E2226" s="9"/>
    </row>
    <row r="2227" spans="5:5" x14ac:dyDescent="0.2">
      <c r="E2227" s="9"/>
    </row>
    <row r="2228" spans="5:5" x14ac:dyDescent="0.2">
      <c r="E2228" s="9"/>
    </row>
    <row r="2229" spans="5:5" x14ac:dyDescent="0.2">
      <c r="E2229" s="9"/>
    </row>
    <row r="2230" spans="5:5" x14ac:dyDescent="0.2">
      <c r="E2230" s="9"/>
    </row>
    <row r="2231" spans="5:5" x14ac:dyDescent="0.2">
      <c r="E2231" s="9"/>
    </row>
    <row r="2232" spans="5:5" x14ac:dyDescent="0.2">
      <c r="E2232" s="9"/>
    </row>
    <row r="2233" spans="5:5" x14ac:dyDescent="0.2">
      <c r="E2233" s="9"/>
    </row>
    <row r="2234" spans="5:5" x14ac:dyDescent="0.2">
      <c r="E2234" s="9"/>
    </row>
    <row r="2235" spans="5:5" x14ac:dyDescent="0.2">
      <c r="E2235" s="9"/>
    </row>
    <row r="2236" spans="5:5" x14ac:dyDescent="0.2">
      <c r="E2236" s="9"/>
    </row>
    <row r="2237" spans="5:5" x14ac:dyDescent="0.2">
      <c r="E2237" s="9"/>
    </row>
    <row r="2238" spans="5:5" x14ac:dyDescent="0.2">
      <c r="E2238" s="9"/>
    </row>
    <row r="2239" spans="5:5" x14ac:dyDescent="0.2">
      <c r="E2239" s="9"/>
    </row>
    <row r="2240" spans="5:5" x14ac:dyDescent="0.2">
      <c r="E2240" s="9"/>
    </row>
    <row r="2241" spans="5:5" x14ac:dyDescent="0.2">
      <c r="E2241" s="9"/>
    </row>
    <row r="2242" spans="5:5" x14ac:dyDescent="0.2">
      <c r="E2242" s="9"/>
    </row>
    <row r="2243" spans="5:5" x14ac:dyDescent="0.2">
      <c r="E2243" s="9"/>
    </row>
    <row r="2244" spans="5:5" x14ac:dyDescent="0.2">
      <c r="E2244" s="9"/>
    </row>
    <row r="2245" spans="5:5" x14ac:dyDescent="0.2">
      <c r="E2245" s="9"/>
    </row>
    <row r="2246" spans="5:5" x14ac:dyDescent="0.2">
      <c r="E2246" s="9"/>
    </row>
    <row r="2247" spans="5:5" x14ac:dyDescent="0.2">
      <c r="E2247" s="9"/>
    </row>
    <row r="2248" spans="5:5" x14ac:dyDescent="0.2">
      <c r="E2248" s="9"/>
    </row>
    <row r="2249" spans="5:5" x14ac:dyDescent="0.2">
      <c r="E2249" s="9"/>
    </row>
    <row r="2250" spans="5:5" x14ac:dyDescent="0.2">
      <c r="E2250" s="9"/>
    </row>
    <row r="2251" spans="5:5" x14ac:dyDescent="0.2">
      <c r="E2251" s="9"/>
    </row>
    <row r="2252" spans="5:5" x14ac:dyDescent="0.2">
      <c r="E2252" s="9"/>
    </row>
    <row r="2253" spans="5:5" x14ac:dyDescent="0.2">
      <c r="E2253" s="9"/>
    </row>
    <row r="2254" spans="5:5" x14ac:dyDescent="0.2">
      <c r="E2254" s="9"/>
    </row>
    <row r="2255" spans="5:5" x14ac:dyDescent="0.2">
      <c r="E2255" s="9"/>
    </row>
    <row r="2256" spans="5:5" x14ac:dyDescent="0.2">
      <c r="E2256" s="9"/>
    </row>
    <row r="2257" spans="5:5" x14ac:dyDescent="0.2">
      <c r="E2257" s="9"/>
    </row>
    <row r="2258" spans="5:5" x14ac:dyDescent="0.2">
      <c r="E2258" s="9"/>
    </row>
    <row r="2259" spans="5:5" x14ac:dyDescent="0.2">
      <c r="E2259" s="9"/>
    </row>
    <row r="2260" spans="5:5" x14ac:dyDescent="0.2">
      <c r="E2260" s="9"/>
    </row>
    <row r="2261" spans="5:5" x14ac:dyDescent="0.2">
      <c r="E2261" s="9"/>
    </row>
    <row r="2262" spans="5:5" x14ac:dyDescent="0.2">
      <c r="E2262" s="9"/>
    </row>
    <row r="2263" spans="5:5" x14ac:dyDescent="0.2">
      <c r="E2263" s="9"/>
    </row>
    <row r="2264" spans="5:5" x14ac:dyDescent="0.2">
      <c r="E2264" s="9"/>
    </row>
    <row r="2265" spans="5:5" x14ac:dyDescent="0.2">
      <c r="E2265" s="9"/>
    </row>
    <row r="2266" spans="5:5" x14ac:dyDescent="0.2">
      <c r="E2266" s="9"/>
    </row>
    <row r="2267" spans="5:5" x14ac:dyDescent="0.2">
      <c r="E2267" s="9"/>
    </row>
    <row r="2268" spans="5:5" x14ac:dyDescent="0.2">
      <c r="E2268" s="9"/>
    </row>
    <row r="2269" spans="5:5" x14ac:dyDescent="0.2">
      <c r="E2269" s="9"/>
    </row>
    <row r="2270" spans="5:5" x14ac:dyDescent="0.2">
      <c r="E2270" s="9"/>
    </row>
    <row r="2271" spans="5:5" x14ac:dyDescent="0.2">
      <c r="E2271" s="9"/>
    </row>
    <row r="2272" spans="5:5" x14ac:dyDescent="0.2">
      <c r="E2272" s="9"/>
    </row>
    <row r="2273" spans="5:5" x14ac:dyDescent="0.2">
      <c r="E2273" s="9"/>
    </row>
    <row r="2274" spans="5:5" x14ac:dyDescent="0.2">
      <c r="E2274" s="9"/>
    </row>
    <row r="2275" spans="5:5" x14ac:dyDescent="0.2">
      <c r="E2275" s="9"/>
    </row>
    <row r="2276" spans="5:5" x14ac:dyDescent="0.2">
      <c r="E2276" s="9"/>
    </row>
    <row r="2277" spans="5:5" x14ac:dyDescent="0.2">
      <c r="E2277" s="9"/>
    </row>
    <row r="2278" spans="5:5" x14ac:dyDescent="0.2">
      <c r="E2278" s="9"/>
    </row>
    <row r="2279" spans="5:5" x14ac:dyDescent="0.2">
      <c r="E2279" s="9"/>
    </row>
    <row r="2280" spans="5:5" x14ac:dyDescent="0.2">
      <c r="E2280" s="9"/>
    </row>
    <row r="2281" spans="5:5" x14ac:dyDescent="0.2">
      <c r="E2281" s="9"/>
    </row>
    <row r="2282" spans="5:5" x14ac:dyDescent="0.2">
      <c r="E2282" s="9"/>
    </row>
    <row r="2283" spans="5:5" x14ac:dyDescent="0.2">
      <c r="E2283" s="9"/>
    </row>
    <row r="2284" spans="5:5" x14ac:dyDescent="0.2">
      <c r="E2284" s="9"/>
    </row>
    <row r="2285" spans="5:5" x14ac:dyDescent="0.2">
      <c r="E2285" s="9"/>
    </row>
    <row r="2286" spans="5:5" x14ac:dyDescent="0.2">
      <c r="E2286" s="9"/>
    </row>
    <row r="2287" spans="5:5" x14ac:dyDescent="0.2">
      <c r="E2287" s="9"/>
    </row>
    <row r="2288" spans="5:5" x14ac:dyDescent="0.2">
      <c r="E2288" s="9"/>
    </row>
    <row r="2289" spans="5:5" x14ac:dyDescent="0.2">
      <c r="E2289" s="9"/>
    </row>
    <row r="2290" spans="5:5" x14ac:dyDescent="0.2">
      <c r="E2290" s="9"/>
    </row>
    <row r="2291" spans="5:5" x14ac:dyDescent="0.2">
      <c r="E2291" s="9"/>
    </row>
    <row r="2292" spans="5:5" x14ac:dyDescent="0.2">
      <c r="E2292" s="9"/>
    </row>
    <row r="2293" spans="5:5" x14ac:dyDescent="0.2">
      <c r="E2293" s="9"/>
    </row>
    <row r="2294" spans="5:5" x14ac:dyDescent="0.2">
      <c r="E2294" s="9"/>
    </row>
    <row r="2295" spans="5:5" x14ac:dyDescent="0.2">
      <c r="E2295" s="9"/>
    </row>
    <row r="2296" spans="5:5" x14ac:dyDescent="0.2">
      <c r="E2296" s="9"/>
    </row>
    <row r="2297" spans="5:5" x14ac:dyDescent="0.2">
      <c r="E2297" s="9"/>
    </row>
    <row r="2298" spans="5:5" x14ac:dyDescent="0.2">
      <c r="E2298" s="9"/>
    </row>
    <row r="2299" spans="5:5" x14ac:dyDescent="0.2">
      <c r="E2299" s="9"/>
    </row>
    <row r="2300" spans="5:5" x14ac:dyDescent="0.2">
      <c r="E2300" s="9"/>
    </row>
    <row r="2301" spans="5:5" x14ac:dyDescent="0.2">
      <c r="E2301" s="9"/>
    </row>
    <row r="2302" spans="5:5" x14ac:dyDescent="0.2">
      <c r="E2302" s="9"/>
    </row>
    <row r="2303" spans="5:5" x14ac:dyDescent="0.2">
      <c r="E2303" s="9"/>
    </row>
    <row r="2304" spans="5:5" x14ac:dyDescent="0.2">
      <c r="E2304" s="9"/>
    </row>
    <row r="2305" spans="5:5" x14ac:dyDescent="0.2">
      <c r="E2305" s="9"/>
    </row>
    <row r="2306" spans="5:5" x14ac:dyDescent="0.2">
      <c r="E2306" s="9"/>
    </row>
    <row r="2307" spans="5:5" x14ac:dyDescent="0.2">
      <c r="E2307" s="9"/>
    </row>
    <row r="2308" spans="5:5" x14ac:dyDescent="0.2">
      <c r="E2308" s="9"/>
    </row>
    <row r="2309" spans="5:5" x14ac:dyDescent="0.2">
      <c r="E2309" s="9"/>
    </row>
    <row r="2310" spans="5:5" x14ac:dyDescent="0.2">
      <c r="E2310" s="9"/>
    </row>
    <row r="2311" spans="5:5" x14ac:dyDescent="0.2">
      <c r="E2311" s="9"/>
    </row>
    <row r="2312" spans="5:5" x14ac:dyDescent="0.2">
      <c r="E2312" s="9"/>
    </row>
    <row r="2313" spans="5:5" x14ac:dyDescent="0.2">
      <c r="E2313" s="9"/>
    </row>
    <row r="2314" spans="5:5" x14ac:dyDescent="0.2">
      <c r="E2314" s="9"/>
    </row>
    <row r="2315" spans="5:5" x14ac:dyDescent="0.2">
      <c r="E2315" s="9"/>
    </row>
    <row r="2316" spans="5:5" x14ac:dyDescent="0.2">
      <c r="E2316" s="9"/>
    </row>
    <row r="2317" spans="5:5" x14ac:dyDescent="0.2">
      <c r="E2317" s="9"/>
    </row>
    <row r="2318" spans="5:5" x14ac:dyDescent="0.2">
      <c r="E2318" s="9"/>
    </row>
    <row r="2319" spans="5:5" x14ac:dyDescent="0.2">
      <c r="E2319" s="9"/>
    </row>
    <row r="2320" spans="5:5" x14ac:dyDescent="0.2">
      <c r="E2320" s="9"/>
    </row>
    <row r="2321" spans="5:5" x14ac:dyDescent="0.2">
      <c r="E2321" s="9"/>
    </row>
    <row r="2322" spans="5:5" x14ac:dyDescent="0.2">
      <c r="E2322" s="9"/>
    </row>
    <row r="2323" spans="5:5" x14ac:dyDescent="0.2">
      <c r="E2323" s="9"/>
    </row>
    <row r="2324" spans="5:5" x14ac:dyDescent="0.2">
      <c r="E2324" s="9"/>
    </row>
    <row r="2325" spans="5:5" x14ac:dyDescent="0.2">
      <c r="E2325" s="9"/>
    </row>
    <row r="2326" spans="5:5" x14ac:dyDescent="0.2">
      <c r="E2326" s="9"/>
    </row>
    <row r="2327" spans="5:5" x14ac:dyDescent="0.2">
      <c r="E2327" s="9"/>
    </row>
    <row r="2328" spans="5:5" x14ac:dyDescent="0.2">
      <c r="E2328" s="9"/>
    </row>
    <row r="2329" spans="5:5" x14ac:dyDescent="0.2">
      <c r="E2329" s="9"/>
    </row>
    <row r="2330" spans="5:5" x14ac:dyDescent="0.2">
      <c r="E2330" s="9"/>
    </row>
    <row r="2331" spans="5:5" x14ac:dyDescent="0.2">
      <c r="E2331" s="9"/>
    </row>
    <row r="2332" spans="5:5" x14ac:dyDescent="0.2">
      <c r="E2332" s="9"/>
    </row>
    <row r="2333" spans="5:5" x14ac:dyDescent="0.2">
      <c r="E2333" s="9"/>
    </row>
    <row r="2334" spans="5:5" x14ac:dyDescent="0.2">
      <c r="E2334" s="9"/>
    </row>
    <row r="2335" spans="5:5" x14ac:dyDescent="0.2">
      <c r="E2335" s="9"/>
    </row>
    <row r="2336" spans="5:5" x14ac:dyDescent="0.2">
      <c r="E2336" s="9"/>
    </row>
    <row r="2337" spans="5:5" x14ac:dyDescent="0.2">
      <c r="E2337" s="9"/>
    </row>
    <row r="2338" spans="5:5" x14ac:dyDescent="0.2">
      <c r="E2338" s="9"/>
    </row>
    <row r="2339" spans="5:5" x14ac:dyDescent="0.2">
      <c r="E2339" s="9"/>
    </row>
    <row r="2340" spans="5:5" x14ac:dyDescent="0.2">
      <c r="E2340" s="9"/>
    </row>
    <row r="2341" spans="5:5" x14ac:dyDescent="0.2">
      <c r="E2341" s="9"/>
    </row>
    <row r="2342" spans="5:5" x14ac:dyDescent="0.2">
      <c r="E2342" s="9"/>
    </row>
    <row r="2343" spans="5:5" x14ac:dyDescent="0.2">
      <c r="E2343" s="9"/>
    </row>
    <row r="2344" spans="5:5" x14ac:dyDescent="0.2">
      <c r="E2344" s="9"/>
    </row>
    <row r="2345" spans="5:5" x14ac:dyDescent="0.2">
      <c r="E2345" s="9"/>
    </row>
    <row r="2346" spans="5:5" x14ac:dyDescent="0.2">
      <c r="E2346" s="9"/>
    </row>
    <row r="2347" spans="5:5" x14ac:dyDescent="0.2">
      <c r="E2347" s="9"/>
    </row>
    <row r="2348" spans="5:5" x14ac:dyDescent="0.2">
      <c r="E2348" s="9"/>
    </row>
    <row r="2349" spans="5:5" x14ac:dyDescent="0.2">
      <c r="E2349" s="9"/>
    </row>
    <row r="2350" spans="5:5" x14ac:dyDescent="0.2">
      <c r="E2350" s="9"/>
    </row>
    <row r="2351" spans="5:5" x14ac:dyDescent="0.2">
      <c r="E2351" s="9"/>
    </row>
    <row r="2352" spans="5:5" x14ac:dyDescent="0.2">
      <c r="E2352" s="9"/>
    </row>
    <row r="2353" spans="5:5" x14ac:dyDescent="0.2">
      <c r="E2353" s="9"/>
    </row>
    <row r="2354" spans="5:5" x14ac:dyDescent="0.2">
      <c r="E2354" s="9"/>
    </row>
    <row r="2355" spans="5:5" x14ac:dyDescent="0.2">
      <c r="E2355" s="9"/>
    </row>
    <row r="2356" spans="5:5" x14ac:dyDescent="0.2">
      <c r="E2356" s="9"/>
    </row>
    <row r="2357" spans="5:5" x14ac:dyDescent="0.2">
      <c r="E2357" s="9"/>
    </row>
    <row r="2358" spans="5:5" x14ac:dyDescent="0.2">
      <c r="E2358" s="9"/>
    </row>
    <row r="2359" spans="5:5" x14ac:dyDescent="0.2">
      <c r="E2359" s="9"/>
    </row>
    <row r="2360" spans="5:5" x14ac:dyDescent="0.2">
      <c r="E2360" s="9"/>
    </row>
    <row r="2361" spans="5:5" x14ac:dyDescent="0.2">
      <c r="E2361" s="9"/>
    </row>
    <row r="2362" spans="5:5" x14ac:dyDescent="0.2">
      <c r="E2362" s="9"/>
    </row>
    <row r="2363" spans="5:5" x14ac:dyDescent="0.2">
      <c r="E2363" s="9"/>
    </row>
    <row r="2364" spans="5:5" x14ac:dyDescent="0.2">
      <c r="E2364" s="9"/>
    </row>
    <row r="2365" spans="5:5" x14ac:dyDescent="0.2">
      <c r="E2365" s="9"/>
    </row>
    <row r="2366" spans="5:5" x14ac:dyDescent="0.2">
      <c r="E2366" s="9"/>
    </row>
    <row r="2367" spans="5:5" x14ac:dyDescent="0.2">
      <c r="E2367" s="9"/>
    </row>
    <row r="2368" spans="5:5" x14ac:dyDescent="0.2">
      <c r="E2368" s="9"/>
    </row>
    <row r="2369" spans="5:5" x14ac:dyDescent="0.2">
      <c r="E2369" s="9"/>
    </row>
    <row r="2370" spans="5:5" x14ac:dyDescent="0.2">
      <c r="E2370" s="9"/>
    </row>
    <row r="2371" spans="5:5" x14ac:dyDescent="0.2">
      <c r="E2371" s="9"/>
    </row>
    <row r="2372" spans="5:5" x14ac:dyDescent="0.2">
      <c r="E2372" s="9"/>
    </row>
    <row r="2373" spans="5:5" x14ac:dyDescent="0.2">
      <c r="E2373" s="9"/>
    </row>
    <row r="2374" spans="5:5" x14ac:dyDescent="0.2">
      <c r="E2374" s="9"/>
    </row>
    <row r="2375" spans="5:5" x14ac:dyDescent="0.2">
      <c r="E2375" s="9"/>
    </row>
    <row r="2376" spans="5:5" x14ac:dyDescent="0.2">
      <c r="E2376" s="9"/>
    </row>
    <row r="2377" spans="5:5" x14ac:dyDescent="0.2">
      <c r="E2377" s="9"/>
    </row>
    <row r="2378" spans="5:5" x14ac:dyDescent="0.2">
      <c r="E2378" s="9"/>
    </row>
    <row r="2379" spans="5:5" x14ac:dyDescent="0.2">
      <c r="E2379" s="9"/>
    </row>
    <row r="2380" spans="5:5" x14ac:dyDescent="0.2">
      <c r="E2380" s="9"/>
    </row>
    <row r="2381" spans="5:5" x14ac:dyDescent="0.2">
      <c r="E2381" s="9"/>
    </row>
    <row r="2382" spans="5:5" x14ac:dyDescent="0.2">
      <c r="E2382" s="9"/>
    </row>
    <row r="2383" spans="5:5" x14ac:dyDescent="0.2">
      <c r="E2383" s="9"/>
    </row>
    <row r="2384" spans="5:5" x14ac:dyDescent="0.2">
      <c r="E2384" s="9"/>
    </row>
    <row r="2385" spans="5:5" x14ac:dyDescent="0.2">
      <c r="E2385" s="9"/>
    </row>
    <row r="2386" spans="5:5" x14ac:dyDescent="0.2">
      <c r="E2386" s="9"/>
    </row>
    <row r="2387" spans="5:5" x14ac:dyDescent="0.2">
      <c r="E2387" s="9"/>
    </row>
    <row r="2388" spans="5:5" x14ac:dyDescent="0.2">
      <c r="E2388" s="9"/>
    </row>
    <row r="2389" spans="5:5" x14ac:dyDescent="0.2">
      <c r="E2389" s="9"/>
    </row>
    <row r="2390" spans="5:5" x14ac:dyDescent="0.2">
      <c r="E2390" s="9"/>
    </row>
    <row r="2391" spans="5:5" x14ac:dyDescent="0.2">
      <c r="E2391" s="9"/>
    </row>
    <row r="2392" spans="5:5" x14ac:dyDescent="0.2">
      <c r="E2392" s="9"/>
    </row>
    <row r="2393" spans="5:5" x14ac:dyDescent="0.2">
      <c r="E2393" s="9"/>
    </row>
    <row r="2394" spans="5:5" x14ac:dyDescent="0.2">
      <c r="E2394" s="9"/>
    </row>
    <row r="2395" spans="5:5" x14ac:dyDescent="0.2">
      <c r="E2395" s="9"/>
    </row>
    <row r="2396" spans="5:5" x14ac:dyDescent="0.2">
      <c r="E2396" s="9"/>
    </row>
    <row r="2397" spans="5:5" x14ac:dyDescent="0.2">
      <c r="E2397" s="9"/>
    </row>
    <row r="2398" spans="5:5" x14ac:dyDescent="0.2">
      <c r="E2398" s="9"/>
    </row>
    <row r="2399" spans="5:5" x14ac:dyDescent="0.2">
      <c r="E2399" s="9"/>
    </row>
    <row r="2400" spans="5:5" x14ac:dyDescent="0.2">
      <c r="E2400" s="9"/>
    </row>
    <row r="2401" spans="5:5" x14ac:dyDescent="0.2">
      <c r="E2401" s="9"/>
    </row>
    <row r="2402" spans="5:5" x14ac:dyDescent="0.2">
      <c r="E2402" s="9"/>
    </row>
    <row r="2403" spans="5:5" x14ac:dyDescent="0.2">
      <c r="E2403" s="9"/>
    </row>
    <row r="2404" spans="5:5" x14ac:dyDescent="0.2">
      <c r="E2404" s="9"/>
    </row>
    <row r="2405" spans="5:5" x14ac:dyDescent="0.2">
      <c r="E2405" s="9"/>
    </row>
    <row r="2406" spans="5:5" x14ac:dyDescent="0.2">
      <c r="E2406" s="9"/>
    </row>
    <row r="2407" spans="5:5" x14ac:dyDescent="0.2">
      <c r="E2407" s="9"/>
    </row>
    <row r="2408" spans="5:5" x14ac:dyDescent="0.2">
      <c r="E2408" s="9"/>
    </row>
    <row r="2409" spans="5:5" x14ac:dyDescent="0.2">
      <c r="E2409" s="9"/>
    </row>
    <row r="2410" spans="5:5" x14ac:dyDescent="0.2">
      <c r="E2410" s="9"/>
    </row>
    <row r="2411" spans="5:5" x14ac:dyDescent="0.2">
      <c r="E2411" s="9"/>
    </row>
    <row r="2412" spans="5:5" x14ac:dyDescent="0.2">
      <c r="E2412" s="9"/>
    </row>
    <row r="2413" spans="5:5" x14ac:dyDescent="0.2">
      <c r="E2413" s="9"/>
    </row>
    <row r="2414" spans="5:5" x14ac:dyDescent="0.2">
      <c r="E2414" s="9"/>
    </row>
    <row r="2415" spans="5:5" x14ac:dyDescent="0.2">
      <c r="E2415" s="9"/>
    </row>
    <row r="2416" spans="5:5" x14ac:dyDescent="0.2">
      <c r="E2416" s="9"/>
    </row>
    <row r="2417" spans="5:5" x14ac:dyDescent="0.2">
      <c r="E2417" s="9"/>
    </row>
    <row r="2418" spans="5:5" x14ac:dyDescent="0.2">
      <c r="E2418" s="9"/>
    </row>
    <row r="2419" spans="5:5" x14ac:dyDescent="0.2">
      <c r="E2419" s="9"/>
    </row>
    <row r="2420" spans="5:5" x14ac:dyDescent="0.2">
      <c r="E2420" s="9"/>
    </row>
    <row r="2421" spans="5:5" x14ac:dyDescent="0.2">
      <c r="E2421" s="9"/>
    </row>
    <row r="2422" spans="5:5" x14ac:dyDescent="0.2">
      <c r="E2422" s="9"/>
    </row>
    <row r="2423" spans="5:5" x14ac:dyDescent="0.2">
      <c r="E2423" s="9"/>
    </row>
    <row r="2424" spans="5:5" x14ac:dyDescent="0.2">
      <c r="E2424" s="9"/>
    </row>
    <row r="2425" spans="5:5" x14ac:dyDescent="0.2">
      <c r="E2425" s="9"/>
    </row>
    <row r="2426" spans="5:5" x14ac:dyDescent="0.2">
      <c r="E2426" s="9"/>
    </row>
    <row r="2427" spans="5:5" x14ac:dyDescent="0.2">
      <c r="E2427" s="9"/>
    </row>
    <row r="2428" spans="5:5" x14ac:dyDescent="0.2">
      <c r="E2428" s="9"/>
    </row>
    <row r="2429" spans="5:5" x14ac:dyDescent="0.2">
      <c r="E2429" s="9"/>
    </row>
    <row r="2430" spans="5:5" x14ac:dyDescent="0.2">
      <c r="E2430" s="9"/>
    </row>
    <row r="2431" spans="5:5" x14ac:dyDescent="0.2">
      <c r="E2431" s="9"/>
    </row>
    <row r="2432" spans="5:5" x14ac:dyDescent="0.2">
      <c r="E2432" s="9"/>
    </row>
    <row r="2433" spans="5:5" x14ac:dyDescent="0.2">
      <c r="E2433" s="9"/>
    </row>
    <row r="2434" spans="5:5" x14ac:dyDescent="0.2">
      <c r="E2434" s="9"/>
    </row>
    <row r="2435" spans="5:5" x14ac:dyDescent="0.2">
      <c r="E2435" s="9"/>
    </row>
    <row r="2436" spans="5:5" x14ac:dyDescent="0.2">
      <c r="E2436" s="9"/>
    </row>
    <row r="2437" spans="5:5" x14ac:dyDescent="0.2">
      <c r="E2437" s="9"/>
    </row>
    <row r="2438" spans="5:5" x14ac:dyDescent="0.2">
      <c r="E2438" s="9"/>
    </row>
    <row r="2439" spans="5:5" x14ac:dyDescent="0.2">
      <c r="E2439" s="9"/>
    </row>
    <row r="2440" spans="5:5" x14ac:dyDescent="0.2">
      <c r="E2440" s="9"/>
    </row>
    <row r="2441" spans="5:5" x14ac:dyDescent="0.2">
      <c r="E2441" s="9"/>
    </row>
    <row r="2442" spans="5:5" x14ac:dyDescent="0.2">
      <c r="E2442" s="9"/>
    </row>
    <row r="2443" spans="5:5" x14ac:dyDescent="0.2">
      <c r="E2443" s="9"/>
    </row>
    <row r="2444" spans="5:5" x14ac:dyDescent="0.2">
      <c r="E2444" s="9"/>
    </row>
    <row r="2445" spans="5:5" x14ac:dyDescent="0.2">
      <c r="E2445" s="9"/>
    </row>
    <row r="2446" spans="5:5" x14ac:dyDescent="0.2">
      <c r="E2446" s="9"/>
    </row>
    <row r="2447" spans="5:5" x14ac:dyDescent="0.2">
      <c r="E2447" s="9"/>
    </row>
    <row r="2448" spans="5:5" x14ac:dyDescent="0.2">
      <c r="E2448" s="9"/>
    </row>
    <row r="2449" spans="5:5" x14ac:dyDescent="0.2">
      <c r="E2449" s="9"/>
    </row>
    <row r="2450" spans="5:5" x14ac:dyDescent="0.2">
      <c r="E2450" s="9"/>
    </row>
    <row r="2451" spans="5:5" x14ac:dyDescent="0.2">
      <c r="E2451" s="9"/>
    </row>
    <row r="2452" spans="5:5" x14ac:dyDescent="0.2">
      <c r="E2452" s="9"/>
    </row>
    <row r="2453" spans="5:5" x14ac:dyDescent="0.2">
      <c r="E2453" s="9"/>
    </row>
    <row r="2454" spans="5:5" x14ac:dyDescent="0.2">
      <c r="E2454" s="9"/>
    </row>
    <row r="2455" spans="5:5" x14ac:dyDescent="0.2">
      <c r="E2455" s="9"/>
    </row>
    <row r="2456" spans="5:5" x14ac:dyDescent="0.2">
      <c r="E2456" s="9"/>
    </row>
    <row r="2457" spans="5:5" x14ac:dyDescent="0.2">
      <c r="E2457" s="9"/>
    </row>
    <row r="2458" spans="5:5" x14ac:dyDescent="0.2">
      <c r="E2458" s="9"/>
    </row>
    <row r="2459" spans="5:5" x14ac:dyDescent="0.2">
      <c r="E2459" s="9"/>
    </row>
    <row r="2460" spans="5:5" x14ac:dyDescent="0.2">
      <c r="E2460" s="9"/>
    </row>
    <row r="2461" spans="5:5" x14ac:dyDescent="0.2">
      <c r="E2461" s="9"/>
    </row>
    <row r="2462" spans="5:5" x14ac:dyDescent="0.2">
      <c r="E2462" s="9"/>
    </row>
    <row r="2463" spans="5:5" x14ac:dyDescent="0.2">
      <c r="E2463" s="9"/>
    </row>
    <row r="2464" spans="5:5" x14ac:dyDescent="0.2">
      <c r="E2464" s="9"/>
    </row>
    <row r="2465" spans="5:5" x14ac:dyDescent="0.2">
      <c r="E2465" s="9"/>
    </row>
    <row r="2466" spans="5:5" x14ac:dyDescent="0.2">
      <c r="E2466" s="9"/>
    </row>
    <row r="2467" spans="5:5" x14ac:dyDescent="0.2">
      <c r="E2467" s="9"/>
    </row>
    <row r="2468" spans="5:5" x14ac:dyDescent="0.2">
      <c r="E2468" s="9"/>
    </row>
    <row r="2469" spans="5:5" x14ac:dyDescent="0.2">
      <c r="E2469" s="9"/>
    </row>
    <row r="2470" spans="5:5" x14ac:dyDescent="0.2">
      <c r="E2470" s="9"/>
    </row>
    <row r="2471" spans="5:5" x14ac:dyDescent="0.2">
      <c r="E2471" s="9"/>
    </row>
    <row r="2472" spans="5:5" x14ac:dyDescent="0.2">
      <c r="E2472" s="9"/>
    </row>
    <row r="2473" spans="5:5" x14ac:dyDescent="0.2">
      <c r="E2473" s="9"/>
    </row>
    <row r="2474" spans="5:5" x14ac:dyDescent="0.2">
      <c r="E2474" s="9"/>
    </row>
    <row r="2475" spans="5:5" x14ac:dyDescent="0.2">
      <c r="E2475" s="9"/>
    </row>
    <row r="2476" spans="5:5" x14ac:dyDescent="0.2">
      <c r="E2476" s="9"/>
    </row>
    <row r="2477" spans="5:5" x14ac:dyDescent="0.2">
      <c r="E2477" s="9"/>
    </row>
    <row r="2478" spans="5:5" x14ac:dyDescent="0.2">
      <c r="E2478" s="9"/>
    </row>
    <row r="2479" spans="5:5" x14ac:dyDescent="0.2">
      <c r="E2479" s="9"/>
    </row>
    <row r="2480" spans="5:5" x14ac:dyDescent="0.2">
      <c r="E2480" s="9"/>
    </row>
    <row r="2481" spans="5:5" x14ac:dyDescent="0.2">
      <c r="E2481" s="9"/>
    </row>
    <row r="2482" spans="5:5" x14ac:dyDescent="0.2">
      <c r="E2482" s="9"/>
    </row>
    <row r="2483" spans="5:5" x14ac:dyDescent="0.2">
      <c r="E2483" s="9"/>
    </row>
    <row r="2484" spans="5:5" x14ac:dyDescent="0.2">
      <c r="E2484" s="9"/>
    </row>
    <row r="2485" spans="5:5" x14ac:dyDescent="0.2">
      <c r="E2485" s="9"/>
    </row>
    <row r="2486" spans="5:5" x14ac:dyDescent="0.2">
      <c r="E2486" s="9"/>
    </row>
    <row r="2487" spans="5:5" x14ac:dyDescent="0.2">
      <c r="E2487" s="9"/>
    </row>
    <row r="2488" spans="5:5" x14ac:dyDescent="0.2">
      <c r="E2488" s="9"/>
    </row>
    <row r="2489" spans="5:5" x14ac:dyDescent="0.2">
      <c r="E2489" s="9"/>
    </row>
    <row r="2490" spans="5:5" x14ac:dyDescent="0.2">
      <c r="E2490" s="9"/>
    </row>
    <row r="2491" spans="5:5" x14ac:dyDescent="0.2">
      <c r="E2491" s="9"/>
    </row>
    <row r="2492" spans="5:5" x14ac:dyDescent="0.2">
      <c r="E2492" s="9"/>
    </row>
    <row r="2493" spans="5:5" x14ac:dyDescent="0.2">
      <c r="E2493" s="9"/>
    </row>
    <row r="2494" spans="5:5" x14ac:dyDescent="0.2">
      <c r="E2494" s="9"/>
    </row>
    <row r="2495" spans="5:5" x14ac:dyDescent="0.2">
      <c r="E2495" s="9"/>
    </row>
    <row r="2496" spans="5:5" x14ac:dyDescent="0.2">
      <c r="E2496" s="9"/>
    </row>
    <row r="2497" spans="5:5" x14ac:dyDescent="0.2">
      <c r="E2497" s="9"/>
    </row>
    <row r="2498" spans="5:5" x14ac:dyDescent="0.2">
      <c r="E2498" s="9"/>
    </row>
    <row r="2499" spans="5:5" x14ac:dyDescent="0.2">
      <c r="E2499" s="9"/>
    </row>
    <row r="2500" spans="5:5" x14ac:dyDescent="0.2">
      <c r="E2500" s="9"/>
    </row>
    <row r="2501" spans="5:5" x14ac:dyDescent="0.2">
      <c r="E2501" s="9"/>
    </row>
    <row r="2502" spans="5:5" x14ac:dyDescent="0.2">
      <c r="E2502" s="9"/>
    </row>
    <row r="2503" spans="5:5" x14ac:dyDescent="0.2">
      <c r="E2503" s="9"/>
    </row>
    <row r="2504" spans="5:5" x14ac:dyDescent="0.2">
      <c r="E2504" s="9"/>
    </row>
    <row r="2505" spans="5:5" x14ac:dyDescent="0.2">
      <c r="E2505" s="9"/>
    </row>
    <row r="2506" spans="5:5" x14ac:dyDescent="0.2">
      <c r="E2506" s="9"/>
    </row>
    <row r="2507" spans="5:5" x14ac:dyDescent="0.2">
      <c r="E2507" s="9"/>
    </row>
    <row r="2508" spans="5:5" x14ac:dyDescent="0.2">
      <c r="E2508" s="9"/>
    </row>
    <row r="2509" spans="5:5" x14ac:dyDescent="0.2">
      <c r="E2509" s="9"/>
    </row>
    <row r="2510" spans="5:5" x14ac:dyDescent="0.2">
      <c r="E2510" s="9"/>
    </row>
    <row r="2511" spans="5:5" x14ac:dyDescent="0.2">
      <c r="E2511" s="9"/>
    </row>
    <row r="2512" spans="5:5" x14ac:dyDescent="0.2">
      <c r="E2512" s="9"/>
    </row>
    <row r="2513" spans="5:5" x14ac:dyDescent="0.2">
      <c r="E2513" s="9"/>
    </row>
    <row r="2514" spans="5:5" x14ac:dyDescent="0.2">
      <c r="E2514" s="9"/>
    </row>
    <row r="2515" spans="5:5" x14ac:dyDescent="0.2">
      <c r="E2515" s="9"/>
    </row>
    <row r="2516" spans="5:5" x14ac:dyDescent="0.2">
      <c r="E2516" s="9"/>
    </row>
    <row r="2517" spans="5:5" x14ac:dyDescent="0.2">
      <c r="E2517" s="9"/>
    </row>
    <row r="2518" spans="5:5" x14ac:dyDescent="0.2">
      <c r="E2518" s="9"/>
    </row>
    <row r="2519" spans="5:5" x14ac:dyDescent="0.2">
      <c r="E2519" s="9"/>
    </row>
    <row r="2520" spans="5:5" x14ac:dyDescent="0.2">
      <c r="E2520" s="9"/>
    </row>
    <row r="2521" spans="5:5" x14ac:dyDescent="0.2">
      <c r="E2521" s="9"/>
    </row>
    <row r="2522" spans="5:5" x14ac:dyDescent="0.2">
      <c r="E2522" s="9"/>
    </row>
    <row r="2523" spans="5:5" x14ac:dyDescent="0.2">
      <c r="E2523" s="9"/>
    </row>
    <row r="2524" spans="5:5" x14ac:dyDescent="0.2">
      <c r="E2524" s="9"/>
    </row>
    <row r="2525" spans="5:5" x14ac:dyDescent="0.2">
      <c r="E2525" s="9"/>
    </row>
    <row r="2526" spans="5:5" x14ac:dyDescent="0.2">
      <c r="E2526" s="9"/>
    </row>
    <row r="2527" spans="5:5" x14ac:dyDescent="0.2">
      <c r="E2527" s="9"/>
    </row>
    <row r="2528" spans="5:5" x14ac:dyDescent="0.2">
      <c r="E2528" s="9"/>
    </row>
    <row r="2529" spans="5:5" x14ac:dyDescent="0.2">
      <c r="E2529" s="9"/>
    </row>
    <row r="2530" spans="5:5" x14ac:dyDescent="0.2">
      <c r="E2530" s="9"/>
    </row>
    <row r="2531" spans="5:5" x14ac:dyDescent="0.2">
      <c r="E2531" s="9"/>
    </row>
    <row r="2532" spans="5:5" x14ac:dyDescent="0.2">
      <c r="E2532" s="9"/>
    </row>
    <row r="2533" spans="5:5" x14ac:dyDescent="0.2">
      <c r="E2533" s="9"/>
    </row>
    <row r="2534" spans="5:5" x14ac:dyDescent="0.2">
      <c r="E2534" s="9"/>
    </row>
    <row r="2535" spans="5:5" x14ac:dyDescent="0.2">
      <c r="E2535" s="9"/>
    </row>
    <row r="2536" spans="5:5" x14ac:dyDescent="0.2">
      <c r="E2536" s="9"/>
    </row>
    <row r="2537" spans="5:5" x14ac:dyDescent="0.2">
      <c r="E2537" s="9"/>
    </row>
    <row r="2538" spans="5:5" x14ac:dyDescent="0.2">
      <c r="E2538" s="9"/>
    </row>
    <row r="2539" spans="5:5" x14ac:dyDescent="0.2">
      <c r="E2539" s="9"/>
    </row>
    <row r="2540" spans="5:5" x14ac:dyDescent="0.2">
      <c r="E2540" s="9"/>
    </row>
    <row r="2541" spans="5:5" x14ac:dyDescent="0.2">
      <c r="E2541" s="9"/>
    </row>
    <row r="2542" spans="5:5" x14ac:dyDescent="0.2">
      <c r="E2542" s="9"/>
    </row>
    <row r="2543" spans="5:5" x14ac:dyDescent="0.2">
      <c r="E2543" s="9"/>
    </row>
    <row r="2544" spans="5:5" x14ac:dyDescent="0.2">
      <c r="E2544" s="9"/>
    </row>
    <row r="2545" spans="5:5" x14ac:dyDescent="0.2">
      <c r="E2545" s="9"/>
    </row>
    <row r="2546" spans="5:5" x14ac:dyDescent="0.2">
      <c r="E2546" s="9"/>
    </row>
    <row r="2547" spans="5:5" x14ac:dyDescent="0.2">
      <c r="E2547" s="9"/>
    </row>
    <row r="2548" spans="5:5" x14ac:dyDescent="0.2">
      <c r="E2548" s="9"/>
    </row>
    <row r="2549" spans="5:5" x14ac:dyDescent="0.2">
      <c r="E2549" s="9"/>
    </row>
    <row r="2550" spans="5:5" x14ac:dyDescent="0.2">
      <c r="E2550" s="9"/>
    </row>
    <row r="2551" spans="5:5" x14ac:dyDescent="0.2">
      <c r="E2551" s="9"/>
    </row>
    <row r="2552" spans="5:5" x14ac:dyDescent="0.2">
      <c r="E2552" s="9"/>
    </row>
    <row r="2553" spans="5:5" x14ac:dyDescent="0.2">
      <c r="E2553" s="9"/>
    </row>
    <row r="2554" spans="5:5" x14ac:dyDescent="0.2">
      <c r="E2554" s="9"/>
    </row>
    <row r="2555" spans="5:5" x14ac:dyDescent="0.2">
      <c r="E2555" s="9"/>
    </row>
    <row r="2556" spans="5:5" x14ac:dyDescent="0.2">
      <c r="E2556" s="9"/>
    </row>
    <row r="2557" spans="5:5" x14ac:dyDescent="0.2">
      <c r="E2557" s="9"/>
    </row>
    <row r="2558" spans="5:5" x14ac:dyDescent="0.2">
      <c r="E2558" s="9"/>
    </row>
    <row r="2559" spans="5:5" x14ac:dyDescent="0.2">
      <c r="E2559" s="9"/>
    </row>
    <row r="2560" spans="5:5" x14ac:dyDescent="0.2">
      <c r="E2560" s="9"/>
    </row>
    <row r="2561" spans="5:5" x14ac:dyDescent="0.2">
      <c r="E2561" s="9"/>
    </row>
    <row r="2562" spans="5:5" x14ac:dyDescent="0.2">
      <c r="E2562" s="9"/>
    </row>
    <row r="2563" spans="5:5" x14ac:dyDescent="0.2">
      <c r="E2563" s="9"/>
    </row>
    <row r="2564" spans="5:5" x14ac:dyDescent="0.2">
      <c r="E2564" s="9"/>
    </row>
    <row r="2565" spans="5:5" x14ac:dyDescent="0.2">
      <c r="E2565" s="9"/>
    </row>
    <row r="2566" spans="5:5" x14ac:dyDescent="0.2">
      <c r="E2566" s="9"/>
    </row>
    <row r="2567" spans="5:5" x14ac:dyDescent="0.2">
      <c r="E2567" s="9"/>
    </row>
    <row r="2568" spans="5:5" x14ac:dyDescent="0.2">
      <c r="E2568" s="9"/>
    </row>
    <row r="2569" spans="5:5" x14ac:dyDescent="0.2">
      <c r="E2569" s="9"/>
    </row>
    <row r="2570" spans="5:5" x14ac:dyDescent="0.2">
      <c r="E2570" s="9"/>
    </row>
    <row r="2571" spans="5:5" x14ac:dyDescent="0.2">
      <c r="E2571" s="9"/>
    </row>
    <row r="2572" spans="5:5" x14ac:dyDescent="0.2">
      <c r="E2572" s="9"/>
    </row>
    <row r="2573" spans="5:5" x14ac:dyDescent="0.2">
      <c r="E2573" s="9"/>
    </row>
    <row r="2574" spans="5:5" x14ac:dyDescent="0.2">
      <c r="E2574" s="9"/>
    </row>
    <row r="2575" spans="5:5" x14ac:dyDescent="0.2">
      <c r="E2575" s="9"/>
    </row>
    <row r="2576" spans="5:5" x14ac:dyDescent="0.2">
      <c r="E2576" s="9"/>
    </row>
    <row r="2577" spans="5:5" x14ac:dyDescent="0.2">
      <c r="E2577" s="9"/>
    </row>
    <row r="2578" spans="5:5" x14ac:dyDescent="0.2">
      <c r="E2578" s="9"/>
    </row>
    <row r="2579" spans="5:5" x14ac:dyDescent="0.2">
      <c r="E2579" s="9"/>
    </row>
    <row r="2580" spans="5:5" x14ac:dyDescent="0.2">
      <c r="E2580" s="9"/>
    </row>
    <row r="2581" spans="5:5" x14ac:dyDescent="0.2">
      <c r="E2581" s="9"/>
    </row>
    <row r="2582" spans="5:5" x14ac:dyDescent="0.2">
      <c r="E2582" s="9"/>
    </row>
    <row r="2583" spans="5:5" x14ac:dyDescent="0.2">
      <c r="E2583" s="9"/>
    </row>
    <row r="2584" spans="5:5" x14ac:dyDescent="0.2">
      <c r="E2584" s="9"/>
    </row>
    <row r="2585" spans="5:5" x14ac:dyDescent="0.2">
      <c r="E2585" s="9"/>
    </row>
    <row r="2586" spans="5:5" x14ac:dyDescent="0.2">
      <c r="E2586" s="9"/>
    </row>
    <row r="2587" spans="5:5" x14ac:dyDescent="0.2">
      <c r="E2587" s="9"/>
    </row>
    <row r="2588" spans="5:5" x14ac:dyDescent="0.2">
      <c r="E2588" s="9"/>
    </row>
    <row r="2589" spans="5:5" x14ac:dyDescent="0.2">
      <c r="E2589" s="9"/>
    </row>
    <row r="2590" spans="5:5" x14ac:dyDescent="0.2">
      <c r="E2590" s="9"/>
    </row>
    <row r="2591" spans="5:5" x14ac:dyDescent="0.2">
      <c r="E2591" s="9"/>
    </row>
    <row r="2592" spans="5:5" x14ac:dyDescent="0.2">
      <c r="E2592" s="9"/>
    </row>
    <row r="2593" spans="5:5" x14ac:dyDescent="0.2">
      <c r="E2593" s="9"/>
    </row>
    <row r="2594" spans="5:5" x14ac:dyDescent="0.2">
      <c r="E2594" s="9"/>
    </row>
    <row r="2595" spans="5:5" x14ac:dyDescent="0.2">
      <c r="E2595" s="9"/>
    </row>
    <row r="2596" spans="5:5" x14ac:dyDescent="0.2">
      <c r="E2596" s="9"/>
    </row>
    <row r="2597" spans="5:5" x14ac:dyDescent="0.2">
      <c r="E2597" s="9"/>
    </row>
    <row r="2598" spans="5:5" x14ac:dyDescent="0.2">
      <c r="E2598" s="9"/>
    </row>
    <row r="2599" spans="5:5" x14ac:dyDescent="0.2">
      <c r="E2599" s="9"/>
    </row>
    <row r="2600" spans="5:5" x14ac:dyDescent="0.2">
      <c r="E2600" s="9"/>
    </row>
    <row r="2601" spans="5:5" x14ac:dyDescent="0.2">
      <c r="E2601" s="9"/>
    </row>
    <row r="2602" spans="5:5" x14ac:dyDescent="0.2">
      <c r="E2602" s="9"/>
    </row>
    <row r="2603" spans="5:5" x14ac:dyDescent="0.2">
      <c r="E2603" s="9"/>
    </row>
    <row r="2604" spans="5:5" x14ac:dyDescent="0.2">
      <c r="E2604" s="9"/>
    </row>
    <row r="2605" spans="5:5" x14ac:dyDescent="0.2">
      <c r="E2605" s="9"/>
    </row>
    <row r="2606" spans="5:5" x14ac:dyDescent="0.2">
      <c r="E2606" s="9"/>
    </row>
    <row r="2607" spans="5:5" x14ac:dyDescent="0.2">
      <c r="E2607" s="9"/>
    </row>
    <row r="2608" spans="5:5" x14ac:dyDescent="0.2">
      <c r="E2608" s="9"/>
    </row>
    <row r="2609" spans="5:5" x14ac:dyDescent="0.2">
      <c r="E2609" s="9"/>
    </row>
    <row r="2610" spans="5:5" x14ac:dyDescent="0.2">
      <c r="E2610" s="9"/>
    </row>
    <row r="2611" spans="5:5" x14ac:dyDescent="0.2">
      <c r="E2611" s="9"/>
    </row>
    <row r="2612" spans="5:5" x14ac:dyDescent="0.2">
      <c r="E2612" s="9"/>
    </row>
    <row r="2613" spans="5:5" x14ac:dyDescent="0.2">
      <c r="E2613" s="9"/>
    </row>
    <row r="2614" spans="5:5" x14ac:dyDescent="0.2">
      <c r="E2614" s="9"/>
    </row>
    <row r="2615" spans="5:5" x14ac:dyDescent="0.2">
      <c r="E2615" s="9"/>
    </row>
    <row r="2616" spans="5:5" x14ac:dyDescent="0.2">
      <c r="E2616" s="9"/>
    </row>
    <row r="2617" spans="5:5" x14ac:dyDescent="0.2">
      <c r="E2617" s="9"/>
    </row>
    <row r="2618" spans="5:5" x14ac:dyDescent="0.2">
      <c r="E2618" s="9"/>
    </row>
    <row r="2619" spans="5:5" x14ac:dyDescent="0.2">
      <c r="E2619" s="9"/>
    </row>
    <row r="2620" spans="5:5" x14ac:dyDescent="0.2">
      <c r="E2620" s="9"/>
    </row>
    <row r="2621" spans="5:5" x14ac:dyDescent="0.2">
      <c r="E2621" s="9"/>
    </row>
    <row r="2622" spans="5:5" x14ac:dyDescent="0.2">
      <c r="E2622" s="9"/>
    </row>
    <row r="2623" spans="5:5" x14ac:dyDescent="0.2">
      <c r="E2623" s="9"/>
    </row>
    <row r="2624" spans="5:5" x14ac:dyDescent="0.2">
      <c r="E2624" s="9"/>
    </row>
    <row r="2625" spans="5:5" x14ac:dyDescent="0.2">
      <c r="E2625" s="9"/>
    </row>
    <row r="2626" spans="5:5" x14ac:dyDescent="0.2">
      <c r="E2626" s="9"/>
    </row>
    <row r="2627" spans="5:5" x14ac:dyDescent="0.2">
      <c r="E2627" s="9"/>
    </row>
    <row r="2628" spans="5:5" x14ac:dyDescent="0.2">
      <c r="E2628" s="9"/>
    </row>
    <row r="2629" spans="5:5" x14ac:dyDescent="0.2">
      <c r="E2629" s="9"/>
    </row>
    <row r="2630" spans="5:5" x14ac:dyDescent="0.2">
      <c r="E2630" s="9"/>
    </row>
    <row r="2631" spans="5:5" x14ac:dyDescent="0.2">
      <c r="E2631" s="9"/>
    </row>
    <row r="2632" spans="5:5" x14ac:dyDescent="0.2">
      <c r="E2632" s="9"/>
    </row>
    <row r="2633" spans="5:5" x14ac:dyDescent="0.2">
      <c r="E2633" s="9"/>
    </row>
    <row r="2634" spans="5:5" x14ac:dyDescent="0.2">
      <c r="E2634" s="9"/>
    </row>
    <row r="2635" spans="5:5" x14ac:dyDescent="0.2">
      <c r="E2635" s="9"/>
    </row>
    <row r="2636" spans="5:5" x14ac:dyDescent="0.2">
      <c r="E2636" s="9"/>
    </row>
    <row r="2637" spans="5:5" x14ac:dyDescent="0.2">
      <c r="E2637" s="9"/>
    </row>
    <row r="2638" spans="5:5" x14ac:dyDescent="0.2">
      <c r="E2638" s="9"/>
    </row>
    <row r="2639" spans="5:5" x14ac:dyDescent="0.2">
      <c r="E2639" s="9"/>
    </row>
    <row r="2640" spans="5:5" x14ac:dyDescent="0.2">
      <c r="E2640" s="9"/>
    </row>
    <row r="2641" spans="5:5" x14ac:dyDescent="0.2">
      <c r="E2641" s="9"/>
    </row>
    <row r="2642" spans="5:5" x14ac:dyDescent="0.2">
      <c r="E2642" s="9"/>
    </row>
    <row r="2643" spans="5:5" x14ac:dyDescent="0.2">
      <c r="E2643" s="9"/>
    </row>
    <row r="2644" spans="5:5" x14ac:dyDescent="0.2">
      <c r="E2644" s="9"/>
    </row>
    <row r="2645" spans="5:5" x14ac:dyDescent="0.2">
      <c r="E2645" s="9"/>
    </row>
    <row r="2646" spans="5:5" x14ac:dyDescent="0.2">
      <c r="E2646" s="9"/>
    </row>
    <row r="2647" spans="5:5" x14ac:dyDescent="0.2">
      <c r="E2647" s="9"/>
    </row>
    <row r="2648" spans="5:5" x14ac:dyDescent="0.2">
      <c r="E2648" s="9"/>
    </row>
    <row r="2649" spans="5:5" x14ac:dyDescent="0.2">
      <c r="E2649" s="9"/>
    </row>
    <row r="2650" spans="5:5" x14ac:dyDescent="0.2">
      <c r="E2650" s="9"/>
    </row>
    <row r="2651" spans="5:5" x14ac:dyDescent="0.2">
      <c r="E2651" s="9"/>
    </row>
    <row r="2652" spans="5:5" x14ac:dyDescent="0.2">
      <c r="E2652" s="9"/>
    </row>
    <row r="2653" spans="5:5" x14ac:dyDescent="0.2">
      <c r="E2653" s="9"/>
    </row>
    <row r="2654" spans="5:5" x14ac:dyDescent="0.2">
      <c r="E2654" s="9"/>
    </row>
    <row r="2655" spans="5:5" x14ac:dyDescent="0.2">
      <c r="E2655" s="9"/>
    </row>
    <row r="2656" spans="5:5" x14ac:dyDescent="0.2">
      <c r="E2656" s="9"/>
    </row>
    <row r="2657" spans="5:5" x14ac:dyDescent="0.2">
      <c r="E2657" s="9"/>
    </row>
    <row r="2658" spans="5:5" x14ac:dyDescent="0.2">
      <c r="E2658" s="9"/>
    </row>
    <row r="2659" spans="5:5" x14ac:dyDescent="0.2">
      <c r="E2659" s="9"/>
    </row>
    <row r="2660" spans="5:5" x14ac:dyDescent="0.2">
      <c r="E2660" s="9"/>
    </row>
    <row r="2661" spans="5:5" x14ac:dyDescent="0.2">
      <c r="E2661" s="9"/>
    </row>
    <row r="2662" spans="5:5" x14ac:dyDescent="0.2">
      <c r="E2662" s="9"/>
    </row>
    <row r="2663" spans="5:5" x14ac:dyDescent="0.2">
      <c r="E2663" s="9"/>
    </row>
    <row r="2664" spans="5:5" x14ac:dyDescent="0.2">
      <c r="E2664" s="9"/>
    </row>
    <row r="2665" spans="5:5" x14ac:dyDescent="0.2">
      <c r="E2665" s="9"/>
    </row>
    <row r="2666" spans="5:5" x14ac:dyDescent="0.2">
      <c r="E2666" s="9"/>
    </row>
    <row r="2667" spans="5:5" x14ac:dyDescent="0.2">
      <c r="E2667" s="9"/>
    </row>
    <row r="2668" spans="5:5" x14ac:dyDescent="0.2">
      <c r="E2668" s="9"/>
    </row>
    <row r="2669" spans="5:5" x14ac:dyDescent="0.2">
      <c r="E2669" s="9"/>
    </row>
    <row r="2670" spans="5:5" x14ac:dyDescent="0.2">
      <c r="E2670" s="9"/>
    </row>
    <row r="2671" spans="5:5" x14ac:dyDescent="0.2">
      <c r="E2671" s="9"/>
    </row>
    <row r="2672" spans="5:5" x14ac:dyDescent="0.2">
      <c r="E2672" s="9"/>
    </row>
    <row r="2673" spans="5:5" x14ac:dyDescent="0.2">
      <c r="E2673" s="9"/>
    </row>
    <row r="2674" spans="5:5" x14ac:dyDescent="0.2">
      <c r="E2674" s="9"/>
    </row>
    <row r="2675" spans="5:5" x14ac:dyDescent="0.2">
      <c r="E2675" s="9"/>
    </row>
    <row r="2676" spans="5:5" x14ac:dyDescent="0.2">
      <c r="E2676" s="9"/>
    </row>
    <row r="2677" spans="5:5" x14ac:dyDescent="0.2">
      <c r="E2677" s="9"/>
    </row>
    <row r="2678" spans="5:5" x14ac:dyDescent="0.2">
      <c r="E2678" s="9"/>
    </row>
    <row r="2679" spans="5:5" x14ac:dyDescent="0.2">
      <c r="E2679" s="9"/>
    </row>
    <row r="2680" spans="5:5" x14ac:dyDescent="0.2">
      <c r="E2680" s="9"/>
    </row>
    <row r="2681" spans="5:5" x14ac:dyDescent="0.2">
      <c r="E2681" s="9"/>
    </row>
    <row r="2682" spans="5:5" x14ac:dyDescent="0.2">
      <c r="E2682" s="9"/>
    </row>
    <row r="2683" spans="5:5" x14ac:dyDescent="0.2">
      <c r="E2683" s="9"/>
    </row>
    <row r="2684" spans="5:5" x14ac:dyDescent="0.2">
      <c r="E2684" s="9"/>
    </row>
    <row r="2685" spans="5:5" x14ac:dyDescent="0.2">
      <c r="E2685" s="9"/>
    </row>
    <row r="2686" spans="5:5" x14ac:dyDescent="0.2">
      <c r="E2686" s="9"/>
    </row>
    <row r="2687" spans="5:5" x14ac:dyDescent="0.2">
      <c r="E2687" s="9"/>
    </row>
    <row r="2688" spans="5:5" x14ac:dyDescent="0.2">
      <c r="E2688" s="9"/>
    </row>
    <row r="2689" spans="5:5" x14ac:dyDescent="0.2">
      <c r="E2689" s="9"/>
    </row>
    <row r="2690" spans="5:5" x14ac:dyDescent="0.2">
      <c r="E2690" s="9"/>
    </row>
    <row r="2691" spans="5:5" x14ac:dyDescent="0.2">
      <c r="E2691" s="9"/>
    </row>
    <row r="2692" spans="5:5" x14ac:dyDescent="0.2">
      <c r="E2692" s="9"/>
    </row>
    <row r="2693" spans="5:5" x14ac:dyDescent="0.2">
      <c r="E2693" s="9"/>
    </row>
    <row r="2694" spans="5:5" x14ac:dyDescent="0.2">
      <c r="E2694" s="9"/>
    </row>
    <row r="2695" spans="5:5" x14ac:dyDescent="0.2">
      <c r="E2695" s="9"/>
    </row>
    <row r="2696" spans="5:5" x14ac:dyDescent="0.2">
      <c r="E2696" s="9"/>
    </row>
    <row r="2697" spans="5:5" x14ac:dyDescent="0.2">
      <c r="E2697" s="9"/>
    </row>
    <row r="2698" spans="5:5" x14ac:dyDescent="0.2">
      <c r="E2698" s="9"/>
    </row>
    <row r="2699" spans="5:5" x14ac:dyDescent="0.2">
      <c r="E2699" s="9"/>
    </row>
    <row r="2700" spans="5:5" x14ac:dyDescent="0.2">
      <c r="E2700" s="9"/>
    </row>
    <row r="2701" spans="5:5" x14ac:dyDescent="0.2">
      <c r="E2701" s="9"/>
    </row>
    <row r="2702" spans="5:5" x14ac:dyDescent="0.2">
      <c r="E2702" s="9"/>
    </row>
    <row r="2703" spans="5:5" x14ac:dyDescent="0.2">
      <c r="E2703" s="9"/>
    </row>
    <row r="2704" spans="5:5" x14ac:dyDescent="0.2">
      <c r="E2704" s="9"/>
    </row>
    <row r="2705" spans="5:5" x14ac:dyDescent="0.2">
      <c r="E2705" s="9"/>
    </row>
    <row r="2706" spans="5:5" x14ac:dyDescent="0.2">
      <c r="E2706" s="9"/>
    </row>
    <row r="2707" spans="5:5" x14ac:dyDescent="0.2">
      <c r="E2707" s="9"/>
    </row>
    <row r="2708" spans="5:5" x14ac:dyDescent="0.2">
      <c r="E2708" s="9"/>
    </row>
    <row r="2709" spans="5:5" x14ac:dyDescent="0.2">
      <c r="E2709" s="9"/>
    </row>
    <row r="2710" spans="5:5" x14ac:dyDescent="0.2">
      <c r="E2710" s="9"/>
    </row>
    <row r="2711" spans="5:5" x14ac:dyDescent="0.2">
      <c r="E2711" s="9"/>
    </row>
    <row r="2712" spans="5:5" x14ac:dyDescent="0.2">
      <c r="E2712" s="9"/>
    </row>
    <row r="2713" spans="5:5" x14ac:dyDescent="0.2">
      <c r="E2713" s="9"/>
    </row>
    <row r="2714" spans="5:5" x14ac:dyDescent="0.2">
      <c r="E2714" s="9"/>
    </row>
    <row r="2715" spans="5:5" x14ac:dyDescent="0.2">
      <c r="E2715" s="9"/>
    </row>
    <row r="2716" spans="5:5" x14ac:dyDescent="0.2">
      <c r="E2716" s="9"/>
    </row>
    <row r="2717" spans="5:5" x14ac:dyDescent="0.2">
      <c r="E2717" s="9"/>
    </row>
    <row r="2718" spans="5:5" x14ac:dyDescent="0.2">
      <c r="E2718" s="9"/>
    </row>
    <row r="2719" spans="5:5" x14ac:dyDescent="0.2">
      <c r="E2719" s="9"/>
    </row>
    <row r="2720" spans="5:5" x14ac:dyDescent="0.2">
      <c r="E2720" s="9"/>
    </row>
    <row r="2721" spans="5:5" x14ac:dyDescent="0.2">
      <c r="E2721" s="9"/>
    </row>
    <row r="2722" spans="5:5" x14ac:dyDescent="0.2">
      <c r="E2722" s="9"/>
    </row>
    <row r="2723" spans="5:5" x14ac:dyDescent="0.2">
      <c r="E2723" s="9"/>
    </row>
    <row r="2724" spans="5:5" x14ac:dyDescent="0.2">
      <c r="E2724" s="9"/>
    </row>
    <row r="2725" spans="5:5" x14ac:dyDescent="0.2">
      <c r="E2725" s="9"/>
    </row>
    <row r="2726" spans="5:5" x14ac:dyDescent="0.2">
      <c r="E2726" s="9"/>
    </row>
    <row r="2727" spans="5:5" x14ac:dyDescent="0.2">
      <c r="E2727" s="9"/>
    </row>
    <row r="2728" spans="5:5" x14ac:dyDescent="0.2">
      <c r="E2728" s="9"/>
    </row>
    <row r="2729" spans="5:5" x14ac:dyDescent="0.2">
      <c r="E2729" s="9"/>
    </row>
    <row r="2730" spans="5:5" x14ac:dyDescent="0.2">
      <c r="E2730" s="9"/>
    </row>
    <row r="2731" spans="5:5" x14ac:dyDescent="0.2">
      <c r="E2731" s="9"/>
    </row>
    <row r="2732" spans="5:5" x14ac:dyDescent="0.2">
      <c r="E2732" s="9"/>
    </row>
    <row r="2733" spans="5:5" x14ac:dyDescent="0.2">
      <c r="E2733" s="9"/>
    </row>
    <row r="2734" spans="5:5" x14ac:dyDescent="0.2">
      <c r="E2734" s="9"/>
    </row>
    <row r="2735" spans="5:5" x14ac:dyDescent="0.2">
      <c r="E2735" s="9"/>
    </row>
    <row r="2736" spans="5:5" x14ac:dyDescent="0.2">
      <c r="E2736" s="9"/>
    </row>
    <row r="2737" spans="5:5" x14ac:dyDescent="0.2">
      <c r="E2737" s="9"/>
    </row>
    <row r="2738" spans="5:5" x14ac:dyDescent="0.2">
      <c r="E2738" s="9"/>
    </row>
    <row r="2739" spans="5:5" x14ac:dyDescent="0.2">
      <c r="E2739" s="9"/>
    </row>
    <row r="2740" spans="5:5" x14ac:dyDescent="0.2">
      <c r="E2740" s="9"/>
    </row>
    <row r="2741" spans="5:5" x14ac:dyDescent="0.2">
      <c r="E2741" s="9"/>
    </row>
    <row r="2742" spans="5:5" x14ac:dyDescent="0.2">
      <c r="E2742" s="9"/>
    </row>
    <row r="2743" spans="5:5" x14ac:dyDescent="0.2">
      <c r="E2743" s="9"/>
    </row>
    <row r="2744" spans="5:5" x14ac:dyDescent="0.2">
      <c r="E2744" s="9"/>
    </row>
    <row r="2745" spans="5:5" x14ac:dyDescent="0.2">
      <c r="E2745" s="9"/>
    </row>
    <row r="2746" spans="5:5" x14ac:dyDescent="0.2">
      <c r="E2746" s="9"/>
    </row>
    <row r="2747" spans="5:5" x14ac:dyDescent="0.2">
      <c r="E2747" s="9"/>
    </row>
    <row r="2748" spans="5:5" x14ac:dyDescent="0.2">
      <c r="E2748" s="9"/>
    </row>
    <row r="2749" spans="5:5" x14ac:dyDescent="0.2">
      <c r="E2749" s="9"/>
    </row>
    <row r="2750" spans="5:5" x14ac:dyDescent="0.2">
      <c r="E2750" s="9"/>
    </row>
    <row r="2751" spans="5:5" x14ac:dyDescent="0.2">
      <c r="E2751" s="9"/>
    </row>
    <row r="2752" spans="5:5" x14ac:dyDescent="0.2">
      <c r="E2752" s="9"/>
    </row>
    <row r="2753" spans="5:5" x14ac:dyDescent="0.2">
      <c r="E2753" s="9"/>
    </row>
    <row r="2754" spans="5:5" x14ac:dyDescent="0.2">
      <c r="E2754" s="9"/>
    </row>
    <row r="2755" spans="5:5" x14ac:dyDescent="0.2">
      <c r="E2755" s="9"/>
    </row>
    <row r="2756" spans="5:5" x14ac:dyDescent="0.2">
      <c r="E2756" s="9"/>
    </row>
    <row r="2757" spans="5:5" x14ac:dyDescent="0.2">
      <c r="E2757" s="9"/>
    </row>
    <row r="2758" spans="5:5" x14ac:dyDescent="0.2">
      <c r="E2758" s="9"/>
    </row>
    <row r="2759" spans="5:5" x14ac:dyDescent="0.2">
      <c r="E2759" s="9"/>
    </row>
    <row r="2760" spans="5:5" x14ac:dyDescent="0.2">
      <c r="E2760" s="9"/>
    </row>
    <row r="2761" spans="5:5" x14ac:dyDescent="0.2">
      <c r="E2761" s="9"/>
    </row>
    <row r="2762" spans="5:5" x14ac:dyDescent="0.2">
      <c r="E2762" s="9"/>
    </row>
    <row r="2763" spans="5:5" x14ac:dyDescent="0.2">
      <c r="E2763" s="9"/>
    </row>
    <row r="2764" spans="5:5" x14ac:dyDescent="0.2">
      <c r="E2764" s="9"/>
    </row>
    <row r="2765" spans="5:5" x14ac:dyDescent="0.2">
      <c r="E2765" s="9"/>
    </row>
    <row r="2766" spans="5:5" x14ac:dyDescent="0.2">
      <c r="E2766" s="9"/>
    </row>
    <row r="2767" spans="5:5" x14ac:dyDescent="0.2">
      <c r="E2767" s="9"/>
    </row>
    <row r="2768" spans="5:5" x14ac:dyDescent="0.2">
      <c r="E2768" s="9"/>
    </row>
    <row r="2769" spans="5:5" x14ac:dyDescent="0.2">
      <c r="E2769" s="9"/>
    </row>
    <row r="2770" spans="5:5" x14ac:dyDescent="0.2">
      <c r="E2770" s="9"/>
    </row>
    <row r="2771" spans="5:5" x14ac:dyDescent="0.2">
      <c r="E2771" s="9"/>
    </row>
    <row r="2772" spans="5:5" x14ac:dyDescent="0.2">
      <c r="E2772" s="9"/>
    </row>
    <row r="2773" spans="5:5" x14ac:dyDescent="0.2">
      <c r="E2773" s="9"/>
    </row>
    <row r="2774" spans="5:5" x14ac:dyDescent="0.2">
      <c r="E2774" s="9"/>
    </row>
    <row r="2775" spans="5:5" x14ac:dyDescent="0.2">
      <c r="E2775" s="9"/>
    </row>
    <row r="2776" spans="5:5" x14ac:dyDescent="0.2">
      <c r="E2776" s="9"/>
    </row>
    <row r="2777" spans="5:5" x14ac:dyDescent="0.2">
      <c r="E2777" s="9"/>
    </row>
    <row r="2778" spans="5:5" x14ac:dyDescent="0.2">
      <c r="E2778" s="9"/>
    </row>
    <row r="2779" spans="5:5" x14ac:dyDescent="0.2">
      <c r="E2779" s="9"/>
    </row>
    <row r="2780" spans="5:5" x14ac:dyDescent="0.2">
      <c r="E2780" s="9"/>
    </row>
    <row r="2781" spans="5:5" x14ac:dyDescent="0.2">
      <c r="E2781" s="9"/>
    </row>
    <row r="2782" spans="5:5" x14ac:dyDescent="0.2">
      <c r="E2782" s="9"/>
    </row>
    <row r="2783" spans="5:5" x14ac:dyDescent="0.2">
      <c r="E2783" s="9"/>
    </row>
    <row r="2784" spans="5:5" x14ac:dyDescent="0.2">
      <c r="E2784" s="9"/>
    </row>
    <row r="2785" spans="5:5" x14ac:dyDescent="0.2">
      <c r="E2785" s="9"/>
    </row>
    <row r="2786" spans="5:5" x14ac:dyDescent="0.2">
      <c r="E2786" s="9"/>
    </row>
    <row r="2787" spans="5:5" x14ac:dyDescent="0.2">
      <c r="E2787" s="9"/>
    </row>
    <row r="2788" spans="5:5" x14ac:dyDescent="0.2">
      <c r="E2788" s="9"/>
    </row>
    <row r="2789" spans="5:5" x14ac:dyDescent="0.2">
      <c r="E2789" s="9"/>
    </row>
    <row r="2790" spans="5:5" x14ac:dyDescent="0.2">
      <c r="E2790" s="9"/>
    </row>
    <row r="2791" spans="5:5" x14ac:dyDescent="0.2">
      <c r="E2791" s="9"/>
    </row>
    <row r="2792" spans="5:5" x14ac:dyDescent="0.2">
      <c r="E2792" s="9"/>
    </row>
    <row r="2793" spans="5:5" x14ac:dyDescent="0.2">
      <c r="E2793" s="9"/>
    </row>
    <row r="2794" spans="5:5" x14ac:dyDescent="0.2">
      <c r="E2794" s="9"/>
    </row>
    <row r="2795" spans="5:5" x14ac:dyDescent="0.2">
      <c r="E2795" s="9"/>
    </row>
    <row r="2796" spans="5:5" x14ac:dyDescent="0.2">
      <c r="E2796" s="9"/>
    </row>
    <row r="2797" spans="5:5" x14ac:dyDescent="0.2">
      <c r="E2797" s="9"/>
    </row>
    <row r="2798" spans="5:5" x14ac:dyDescent="0.2">
      <c r="E2798" s="9"/>
    </row>
    <row r="2799" spans="5:5" x14ac:dyDescent="0.2">
      <c r="E2799" s="9"/>
    </row>
    <row r="2800" spans="5:5" x14ac:dyDescent="0.2">
      <c r="E2800" s="9"/>
    </row>
    <row r="2801" spans="5:5" x14ac:dyDescent="0.2">
      <c r="E2801" s="9"/>
    </row>
    <row r="2802" spans="5:5" x14ac:dyDescent="0.2">
      <c r="E2802" s="9"/>
    </row>
    <row r="2803" spans="5:5" x14ac:dyDescent="0.2">
      <c r="E2803" s="9"/>
    </row>
    <row r="2804" spans="5:5" x14ac:dyDescent="0.2">
      <c r="E2804" s="9"/>
    </row>
    <row r="2805" spans="5:5" x14ac:dyDescent="0.2">
      <c r="E2805" s="9"/>
    </row>
    <row r="2806" spans="5:5" x14ac:dyDescent="0.2">
      <c r="E2806" s="9"/>
    </row>
    <row r="2807" spans="5:5" x14ac:dyDescent="0.2">
      <c r="E2807" s="9"/>
    </row>
    <row r="2808" spans="5:5" x14ac:dyDescent="0.2">
      <c r="E2808" s="9"/>
    </row>
    <row r="2809" spans="5:5" x14ac:dyDescent="0.2">
      <c r="E2809" s="9"/>
    </row>
    <row r="2810" spans="5:5" x14ac:dyDescent="0.2">
      <c r="E2810" s="9"/>
    </row>
    <row r="2811" spans="5:5" x14ac:dyDescent="0.2">
      <c r="E2811" s="9"/>
    </row>
    <row r="2812" spans="5:5" x14ac:dyDescent="0.2">
      <c r="E2812" s="9"/>
    </row>
    <row r="2813" spans="5:5" x14ac:dyDescent="0.2">
      <c r="E2813" s="9"/>
    </row>
    <row r="2814" spans="5:5" x14ac:dyDescent="0.2">
      <c r="E2814" s="9"/>
    </row>
    <row r="2815" spans="5:5" x14ac:dyDescent="0.2">
      <c r="E2815" s="9"/>
    </row>
    <row r="2816" spans="5:5" x14ac:dyDescent="0.2">
      <c r="E2816" s="9"/>
    </row>
    <row r="2817" spans="5:5" x14ac:dyDescent="0.2">
      <c r="E2817" s="9"/>
    </row>
    <row r="2818" spans="5:5" x14ac:dyDescent="0.2">
      <c r="E2818" s="9"/>
    </row>
    <row r="2819" spans="5:5" x14ac:dyDescent="0.2">
      <c r="E2819" s="9"/>
    </row>
    <row r="2820" spans="5:5" x14ac:dyDescent="0.2">
      <c r="E2820" s="9"/>
    </row>
    <row r="2821" spans="5:5" x14ac:dyDescent="0.2">
      <c r="E2821" s="9"/>
    </row>
    <row r="2822" spans="5:5" x14ac:dyDescent="0.2">
      <c r="E2822" s="9"/>
    </row>
    <row r="2823" spans="5:5" x14ac:dyDescent="0.2">
      <c r="E2823" s="9"/>
    </row>
    <row r="2824" spans="5:5" x14ac:dyDescent="0.2">
      <c r="E2824" s="9"/>
    </row>
    <row r="2825" spans="5:5" x14ac:dyDescent="0.2">
      <c r="E2825" s="9"/>
    </row>
    <row r="2826" spans="5:5" x14ac:dyDescent="0.2">
      <c r="E2826" s="9"/>
    </row>
    <row r="2827" spans="5:5" x14ac:dyDescent="0.2">
      <c r="E2827" s="9"/>
    </row>
    <row r="2828" spans="5:5" x14ac:dyDescent="0.2">
      <c r="E2828" s="9"/>
    </row>
    <row r="2829" spans="5:5" x14ac:dyDescent="0.2">
      <c r="E2829" s="9"/>
    </row>
    <row r="2830" spans="5:5" x14ac:dyDescent="0.2">
      <c r="E2830" s="9"/>
    </row>
    <row r="2831" spans="5:5" x14ac:dyDescent="0.2">
      <c r="E2831" s="9"/>
    </row>
    <row r="2832" spans="5:5" x14ac:dyDescent="0.2">
      <c r="E2832" s="9"/>
    </row>
    <row r="2833" spans="5:5" x14ac:dyDescent="0.2">
      <c r="E2833" s="9"/>
    </row>
    <row r="2834" spans="5:5" x14ac:dyDescent="0.2">
      <c r="E2834" s="9"/>
    </row>
    <row r="2835" spans="5:5" x14ac:dyDescent="0.2">
      <c r="E2835" s="9"/>
    </row>
    <row r="2836" spans="5:5" x14ac:dyDescent="0.2">
      <c r="E2836" s="9"/>
    </row>
    <row r="2837" spans="5:5" x14ac:dyDescent="0.2">
      <c r="E2837" s="9"/>
    </row>
    <row r="2838" spans="5:5" x14ac:dyDescent="0.2">
      <c r="E2838" s="9"/>
    </row>
    <row r="2839" spans="5:5" x14ac:dyDescent="0.2">
      <c r="E2839" s="9"/>
    </row>
    <row r="2840" spans="5:5" x14ac:dyDescent="0.2">
      <c r="E2840" s="9"/>
    </row>
    <row r="2841" spans="5:5" x14ac:dyDescent="0.2">
      <c r="E2841" s="9"/>
    </row>
    <row r="2842" spans="5:5" x14ac:dyDescent="0.2">
      <c r="E2842" s="9"/>
    </row>
    <row r="2843" spans="5:5" x14ac:dyDescent="0.2">
      <c r="E2843" s="9"/>
    </row>
    <row r="2844" spans="5:5" x14ac:dyDescent="0.2">
      <c r="E2844" s="9"/>
    </row>
    <row r="2845" spans="5:5" x14ac:dyDescent="0.2">
      <c r="E2845" s="9"/>
    </row>
    <row r="2846" spans="5:5" x14ac:dyDescent="0.2">
      <c r="E2846" s="9"/>
    </row>
    <row r="2847" spans="5:5" x14ac:dyDescent="0.2">
      <c r="E2847" s="9"/>
    </row>
    <row r="2848" spans="5:5" x14ac:dyDescent="0.2">
      <c r="E2848" s="9"/>
    </row>
    <row r="2849" spans="5:5" x14ac:dyDescent="0.2">
      <c r="E2849" s="9"/>
    </row>
    <row r="2850" spans="5:5" x14ac:dyDescent="0.2">
      <c r="E2850" s="9"/>
    </row>
    <row r="2851" spans="5:5" x14ac:dyDescent="0.2">
      <c r="E2851" s="9"/>
    </row>
    <row r="2852" spans="5:5" x14ac:dyDescent="0.2">
      <c r="E2852" s="9"/>
    </row>
    <row r="2853" spans="5:5" x14ac:dyDescent="0.2">
      <c r="E2853" s="9"/>
    </row>
    <row r="2854" spans="5:5" x14ac:dyDescent="0.2">
      <c r="E2854" s="9"/>
    </row>
    <row r="2855" spans="5:5" x14ac:dyDescent="0.2">
      <c r="E2855" s="9"/>
    </row>
    <row r="2856" spans="5:5" x14ac:dyDescent="0.2">
      <c r="E2856" s="9"/>
    </row>
    <row r="2857" spans="5:5" x14ac:dyDescent="0.2">
      <c r="E2857" s="9"/>
    </row>
    <row r="2858" spans="5:5" x14ac:dyDescent="0.2">
      <c r="E2858" s="9"/>
    </row>
    <row r="2859" spans="5:5" x14ac:dyDescent="0.2">
      <c r="E2859" s="9"/>
    </row>
    <row r="2860" spans="5:5" x14ac:dyDescent="0.2">
      <c r="E2860" s="9"/>
    </row>
    <row r="2861" spans="5:5" x14ac:dyDescent="0.2">
      <c r="E2861" s="9"/>
    </row>
    <row r="2862" spans="5:5" x14ac:dyDescent="0.2">
      <c r="E2862" s="9"/>
    </row>
    <row r="2863" spans="5:5" x14ac:dyDescent="0.2">
      <c r="E2863" s="9"/>
    </row>
    <row r="2864" spans="5:5" x14ac:dyDescent="0.2">
      <c r="E2864" s="9"/>
    </row>
    <row r="2865" spans="5:5" x14ac:dyDescent="0.2">
      <c r="E2865" s="9"/>
    </row>
    <row r="2866" spans="5:5" x14ac:dyDescent="0.2">
      <c r="E2866" s="9"/>
    </row>
    <row r="2867" spans="5:5" x14ac:dyDescent="0.2">
      <c r="E2867" s="9"/>
    </row>
    <row r="2868" spans="5:5" x14ac:dyDescent="0.2">
      <c r="E2868" s="9"/>
    </row>
    <row r="2869" spans="5:5" x14ac:dyDescent="0.2">
      <c r="E2869" s="9"/>
    </row>
    <row r="2870" spans="5:5" x14ac:dyDescent="0.2">
      <c r="E2870" s="9"/>
    </row>
    <row r="2871" spans="5:5" x14ac:dyDescent="0.2">
      <c r="E2871" s="9"/>
    </row>
    <row r="2872" spans="5:5" x14ac:dyDescent="0.2">
      <c r="E2872" s="9"/>
    </row>
    <row r="2873" spans="5:5" x14ac:dyDescent="0.2">
      <c r="E2873" s="9"/>
    </row>
    <row r="2874" spans="5:5" x14ac:dyDescent="0.2">
      <c r="E2874" s="9"/>
    </row>
    <row r="2875" spans="5:5" x14ac:dyDescent="0.2">
      <c r="E2875" s="9"/>
    </row>
    <row r="2876" spans="5:5" x14ac:dyDescent="0.2">
      <c r="E2876" s="9"/>
    </row>
    <row r="2877" spans="5:5" x14ac:dyDescent="0.2">
      <c r="E2877" s="9"/>
    </row>
    <row r="2878" spans="5:5" x14ac:dyDescent="0.2">
      <c r="E2878" s="9"/>
    </row>
    <row r="2879" spans="5:5" x14ac:dyDescent="0.2">
      <c r="E2879" s="9"/>
    </row>
    <row r="2880" spans="5:5" x14ac:dyDescent="0.2">
      <c r="E2880" s="9"/>
    </row>
    <row r="2881" spans="5:5" x14ac:dyDescent="0.2">
      <c r="E2881" s="9"/>
    </row>
    <row r="2882" spans="5:5" x14ac:dyDescent="0.2">
      <c r="E2882" s="9"/>
    </row>
    <row r="2883" spans="5:5" x14ac:dyDescent="0.2">
      <c r="E2883" s="9"/>
    </row>
    <row r="2884" spans="5:5" x14ac:dyDescent="0.2">
      <c r="E2884" s="9"/>
    </row>
    <row r="2885" spans="5:5" x14ac:dyDescent="0.2">
      <c r="E2885" s="9"/>
    </row>
    <row r="2886" spans="5:5" x14ac:dyDescent="0.2">
      <c r="E2886" s="9"/>
    </row>
    <row r="2887" spans="5:5" x14ac:dyDescent="0.2">
      <c r="E2887" s="9"/>
    </row>
    <row r="2888" spans="5:5" x14ac:dyDescent="0.2">
      <c r="E2888" s="9"/>
    </row>
    <row r="2889" spans="5:5" x14ac:dyDescent="0.2">
      <c r="E2889" s="9"/>
    </row>
    <row r="2890" spans="5:5" x14ac:dyDescent="0.2">
      <c r="E2890" s="9"/>
    </row>
    <row r="2891" spans="5:5" x14ac:dyDescent="0.2">
      <c r="E2891" s="9"/>
    </row>
    <row r="2892" spans="5:5" x14ac:dyDescent="0.2">
      <c r="E2892" s="9"/>
    </row>
    <row r="2893" spans="5:5" x14ac:dyDescent="0.2">
      <c r="E2893" s="9"/>
    </row>
    <row r="2894" spans="5:5" x14ac:dyDescent="0.2">
      <c r="E2894" s="9"/>
    </row>
    <row r="2895" spans="5:5" x14ac:dyDescent="0.2">
      <c r="E2895" s="9"/>
    </row>
    <row r="2896" spans="5:5" x14ac:dyDescent="0.2">
      <c r="E2896" s="9"/>
    </row>
    <row r="2897" spans="5:5" x14ac:dyDescent="0.2">
      <c r="E2897" s="9"/>
    </row>
    <row r="2898" spans="5:5" x14ac:dyDescent="0.2">
      <c r="E2898" s="9"/>
    </row>
    <row r="2899" spans="5:5" x14ac:dyDescent="0.2">
      <c r="E2899" s="9"/>
    </row>
    <row r="2900" spans="5:5" x14ac:dyDescent="0.2">
      <c r="E2900" s="9"/>
    </row>
    <row r="2901" spans="5:5" x14ac:dyDescent="0.2">
      <c r="E2901" s="9"/>
    </row>
    <row r="2902" spans="5:5" x14ac:dyDescent="0.2">
      <c r="E2902" s="9"/>
    </row>
    <row r="2903" spans="5:5" x14ac:dyDescent="0.2">
      <c r="E2903" s="9"/>
    </row>
    <row r="2904" spans="5:5" x14ac:dyDescent="0.2">
      <c r="E2904" s="9"/>
    </row>
    <row r="2905" spans="5:5" x14ac:dyDescent="0.2">
      <c r="E2905" s="9"/>
    </row>
    <row r="2906" spans="5:5" x14ac:dyDescent="0.2">
      <c r="E2906" s="9"/>
    </row>
    <row r="2907" spans="5:5" x14ac:dyDescent="0.2">
      <c r="E2907" s="9"/>
    </row>
    <row r="2908" spans="5:5" x14ac:dyDescent="0.2">
      <c r="E2908" s="9"/>
    </row>
    <row r="2909" spans="5:5" x14ac:dyDescent="0.2">
      <c r="E2909" s="9"/>
    </row>
    <row r="2910" spans="5:5" x14ac:dyDescent="0.2">
      <c r="E2910" s="9"/>
    </row>
    <row r="2911" spans="5:5" x14ac:dyDescent="0.2">
      <c r="E2911" s="9"/>
    </row>
    <row r="2912" spans="5:5" x14ac:dyDescent="0.2">
      <c r="E2912" s="9"/>
    </row>
    <row r="2913" spans="5:5" x14ac:dyDescent="0.2">
      <c r="E2913" s="9"/>
    </row>
    <row r="2914" spans="5:5" x14ac:dyDescent="0.2">
      <c r="E2914" s="9"/>
    </row>
    <row r="2915" spans="5:5" x14ac:dyDescent="0.2">
      <c r="E2915" s="9"/>
    </row>
    <row r="2916" spans="5:5" x14ac:dyDescent="0.2">
      <c r="E2916" s="9"/>
    </row>
    <row r="2917" spans="5:5" x14ac:dyDescent="0.2">
      <c r="E2917" s="9"/>
    </row>
    <row r="2918" spans="5:5" x14ac:dyDescent="0.2">
      <c r="E2918" s="9"/>
    </row>
    <row r="2919" spans="5:5" x14ac:dyDescent="0.2">
      <c r="E2919" s="9"/>
    </row>
    <row r="2920" spans="5:5" x14ac:dyDescent="0.2">
      <c r="E2920" s="9"/>
    </row>
    <row r="2921" spans="5:5" x14ac:dyDescent="0.2">
      <c r="E2921" s="9"/>
    </row>
    <row r="2922" spans="5:5" x14ac:dyDescent="0.2">
      <c r="E2922" s="9"/>
    </row>
    <row r="2923" spans="5:5" x14ac:dyDescent="0.2">
      <c r="E2923" s="9"/>
    </row>
    <row r="2924" spans="5:5" x14ac:dyDescent="0.2">
      <c r="E2924" s="9"/>
    </row>
    <row r="2925" spans="5:5" x14ac:dyDescent="0.2">
      <c r="E2925" s="9"/>
    </row>
    <row r="2926" spans="5:5" x14ac:dyDescent="0.2">
      <c r="E2926" s="9"/>
    </row>
    <row r="2927" spans="5:5" x14ac:dyDescent="0.2">
      <c r="E2927" s="9"/>
    </row>
    <row r="2928" spans="5:5" x14ac:dyDescent="0.2">
      <c r="E2928" s="9"/>
    </row>
    <row r="2929" spans="5:5" x14ac:dyDescent="0.2">
      <c r="E2929" s="9"/>
    </row>
    <row r="2930" spans="5:5" x14ac:dyDescent="0.2">
      <c r="E2930" s="9"/>
    </row>
    <row r="2931" spans="5:5" x14ac:dyDescent="0.2">
      <c r="E2931" s="9"/>
    </row>
    <row r="2932" spans="5:5" x14ac:dyDescent="0.2">
      <c r="E2932" s="9"/>
    </row>
    <row r="2933" spans="5:5" x14ac:dyDescent="0.2">
      <c r="E2933" s="9"/>
    </row>
    <row r="2934" spans="5:5" x14ac:dyDescent="0.2">
      <c r="E2934" s="9"/>
    </row>
    <row r="2935" spans="5:5" x14ac:dyDescent="0.2">
      <c r="E2935" s="9"/>
    </row>
    <row r="2936" spans="5:5" x14ac:dyDescent="0.2">
      <c r="E2936" s="9"/>
    </row>
    <row r="2937" spans="5:5" x14ac:dyDescent="0.2">
      <c r="E2937" s="9"/>
    </row>
    <row r="2938" spans="5:5" x14ac:dyDescent="0.2">
      <c r="E2938" s="9"/>
    </row>
    <row r="2939" spans="5:5" x14ac:dyDescent="0.2">
      <c r="E2939" s="9"/>
    </row>
    <row r="2940" spans="5:5" x14ac:dyDescent="0.2">
      <c r="E2940" s="9"/>
    </row>
    <row r="2941" spans="5:5" x14ac:dyDescent="0.2">
      <c r="E2941" s="9"/>
    </row>
    <row r="2942" spans="5:5" x14ac:dyDescent="0.2">
      <c r="E2942" s="9"/>
    </row>
    <row r="2943" spans="5:5" x14ac:dyDescent="0.2">
      <c r="E2943" s="9"/>
    </row>
    <row r="2944" spans="5:5" x14ac:dyDescent="0.2">
      <c r="E2944" s="9"/>
    </row>
    <row r="2945" spans="5:5" x14ac:dyDescent="0.2">
      <c r="E2945" s="9"/>
    </row>
    <row r="2946" spans="5:5" x14ac:dyDescent="0.2">
      <c r="E2946" s="9"/>
    </row>
    <row r="2947" spans="5:5" x14ac:dyDescent="0.2">
      <c r="E2947" s="9"/>
    </row>
    <row r="2948" spans="5:5" x14ac:dyDescent="0.2">
      <c r="E2948" s="9"/>
    </row>
    <row r="2949" spans="5:5" x14ac:dyDescent="0.2">
      <c r="E2949" s="9"/>
    </row>
    <row r="2950" spans="5:5" x14ac:dyDescent="0.2">
      <c r="E2950" s="9"/>
    </row>
    <row r="2951" spans="5:5" x14ac:dyDescent="0.2">
      <c r="E2951" s="9"/>
    </row>
    <row r="2952" spans="5:5" x14ac:dyDescent="0.2">
      <c r="E2952" s="9"/>
    </row>
    <row r="2953" spans="5:5" x14ac:dyDescent="0.2">
      <c r="E2953" s="9"/>
    </row>
    <row r="2954" spans="5:5" x14ac:dyDescent="0.2">
      <c r="E2954" s="9"/>
    </row>
    <row r="2955" spans="5:5" x14ac:dyDescent="0.2">
      <c r="E2955" s="9"/>
    </row>
    <row r="2956" spans="5:5" x14ac:dyDescent="0.2">
      <c r="E2956" s="9"/>
    </row>
    <row r="2957" spans="5:5" x14ac:dyDescent="0.2">
      <c r="E2957" s="9"/>
    </row>
    <row r="2958" spans="5:5" x14ac:dyDescent="0.2">
      <c r="E2958" s="9"/>
    </row>
    <row r="2959" spans="5:5" x14ac:dyDescent="0.2">
      <c r="E2959" s="9"/>
    </row>
    <row r="2960" spans="5:5" x14ac:dyDescent="0.2">
      <c r="E2960" s="9"/>
    </row>
    <row r="2961" spans="5:5" x14ac:dyDescent="0.2">
      <c r="E2961" s="9"/>
    </row>
    <row r="2962" spans="5:5" x14ac:dyDescent="0.2">
      <c r="E2962" s="9"/>
    </row>
    <row r="2963" spans="5:5" x14ac:dyDescent="0.2">
      <c r="E2963" s="9"/>
    </row>
    <row r="2964" spans="5:5" x14ac:dyDescent="0.2">
      <c r="E2964" s="9"/>
    </row>
    <row r="2965" spans="5:5" x14ac:dyDescent="0.2">
      <c r="E2965" s="9"/>
    </row>
    <row r="2966" spans="5:5" x14ac:dyDescent="0.2">
      <c r="E2966" s="9"/>
    </row>
    <row r="2967" spans="5:5" x14ac:dyDescent="0.2">
      <c r="E2967" s="9"/>
    </row>
    <row r="2968" spans="5:5" x14ac:dyDescent="0.2">
      <c r="E2968" s="9"/>
    </row>
    <row r="2969" spans="5:5" x14ac:dyDescent="0.2">
      <c r="E2969" s="9"/>
    </row>
    <row r="2970" spans="5:5" x14ac:dyDescent="0.2">
      <c r="E2970" s="9"/>
    </row>
    <row r="2971" spans="5:5" x14ac:dyDescent="0.2">
      <c r="E2971" s="9"/>
    </row>
    <row r="2972" spans="5:5" x14ac:dyDescent="0.2">
      <c r="E2972" s="9"/>
    </row>
    <row r="2973" spans="5:5" x14ac:dyDescent="0.2">
      <c r="E2973" s="9"/>
    </row>
    <row r="2974" spans="5:5" x14ac:dyDescent="0.2">
      <c r="E2974" s="9"/>
    </row>
    <row r="2975" spans="5:5" x14ac:dyDescent="0.2">
      <c r="E2975" s="9"/>
    </row>
    <row r="2976" spans="5:5" x14ac:dyDescent="0.2">
      <c r="E2976" s="9"/>
    </row>
    <row r="2977" spans="5:5" x14ac:dyDescent="0.2">
      <c r="E2977" s="9"/>
    </row>
    <row r="2978" spans="5:5" x14ac:dyDescent="0.2">
      <c r="E2978" s="9"/>
    </row>
    <row r="2979" spans="5:5" x14ac:dyDescent="0.2">
      <c r="E2979" s="9"/>
    </row>
    <row r="2980" spans="5:5" x14ac:dyDescent="0.2">
      <c r="E2980" s="9"/>
    </row>
    <row r="2981" spans="5:5" x14ac:dyDescent="0.2">
      <c r="E2981" s="9"/>
    </row>
    <row r="2982" spans="5:5" x14ac:dyDescent="0.2">
      <c r="E2982" s="9"/>
    </row>
    <row r="2983" spans="5:5" x14ac:dyDescent="0.2">
      <c r="E2983" s="9"/>
    </row>
    <row r="2984" spans="5:5" x14ac:dyDescent="0.2">
      <c r="E2984" s="9"/>
    </row>
    <row r="2985" spans="5:5" x14ac:dyDescent="0.2">
      <c r="E2985" s="9"/>
    </row>
    <row r="2986" spans="5:5" x14ac:dyDescent="0.2">
      <c r="E2986" s="9"/>
    </row>
    <row r="2987" spans="5:5" x14ac:dyDescent="0.2">
      <c r="E2987" s="9"/>
    </row>
    <row r="2988" spans="5:5" x14ac:dyDescent="0.2">
      <c r="E2988" s="9"/>
    </row>
    <row r="2989" spans="5:5" x14ac:dyDescent="0.2">
      <c r="E2989" s="9"/>
    </row>
    <row r="2990" spans="5:5" x14ac:dyDescent="0.2">
      <c r="E2990" s="9"/>
    </row>
    <row r="2991" spans="5:5" x14ac:dyDescent="0.2">
      <c r="E2991" s="9"/>
    </row>
    <row r="2992" spans="5:5" x14ac:dyDescent="0.2">
      <c r="E2992" s="9"/>
    </row>
    <row r="2993" spans="5:5" x14ac:dyDescent="0.2">
      <c r="E2993" s="9"/>
    </row>
    <row r="2994" spans="5:5" x14ac:dyDescent="0.2">
      <c r="E2994" s="9"/>
    </row>
    <row r="2995" spans="5:5" x14ac:dyDescent="0.2">
      <c r="E2995" s="9"/>
    </row>
    <row r="2996" spans="5:5" x14ac:dyDescent="0.2">
      <c r="E2996" s="9"/>
    </row>
    <row r="2997" spans="5:5" x14ac:dyDescent="0.2">
      <c r="E2997" s="9"/>
    </row>
    <row r="2998" spans="5:5" x14ac:dyDescent="0.2">
      <c r="E2998" s="9"/>
    </row>
    <row r="2999" spans="5:5" x14ac:dyDescent="0.2">
      <c r="E2999" s="9"/>
    </row>
    <row r="3000" spans="5:5" x14ac:dyDescent="0.2">
      <c r="E3000" s="9"/>
    </row>
    <row r="3001" spans="5:5" x14ac:dyDescent="0.2">
      <c r="E3001" s="9"/>
    </row>
    <row r="3002" spans="5:5" x14ac:dyDescent="0.2">
      <c r="E3002" s="9"/>
    </row>
    <row r="3003" spans="5:5" x14ac:dyDescent="0.2">
      <c r="E3003" s="9"/>
    </row>
    <row r="3004" spans="5:5" x14ac:dyDescent="0.2">
      <c r="E3004" s="9"/>
    </row>
    <row r="3005" spans="5:5" x14ac:dyDescent="0.2">
      <c r="E3005" s="9"/>
    </row>
    <row r="3006" spans="5:5" x14ac:dyDescent="0.2">
      <c r="E3006" s="9"/>
    </row>
    <row r="3007" spans="5:5" x14ac:dyDescent="0.2">
      <c r="E3007" s="9"/>
    </row>
    <row r="3008" spans="5:5" x14ac:dyDescent="0.2">
      <c r="E3008" s="9"/>
    </row>
    <row r="3009" spans="5:5" x14ac:dyDescent="0.2">
      <c r="E3009" s="9"/>
    </row>
    <row r="3010" spans="5:5" x14ac:dyDescent="0.2">
      <c r="E3010" s="9"/>
    </row>
    <row r="3011" spans="5:5" x14ac:dyDescent="0.2">
      <c r="E3011" s="9"/>
    </row>
    <row r="3012" spans="5:5" x14ac:dyDescent="0.2">
      <c r="E3012" s="9"/>
    </row>
    <row r="3013" spans="5:5" x14ac:dyDescent="0.2">
      <c r="E3013" s="9"/>
    </row>
    <row r="3014" spans="5:5" x14ac:dyDescent="0.2">
      <c r="E3014" s="9"/>
    </row>
    <row r="3015" spans="5:5" x14ac:dyDescent="0.2">
      <c r="E3015" s="9"/>
    </row>
    <row r="3016" spans="5:5" x14ac:dyDescent="0.2">
      <c r="E3016" s="9"/>
    </row>
    <row r="3017" spans="5:5" x14ac:dyDescent="0.2">
      <c r="E3017" s="9"/>
    </row>
    <row r="3018" spans="5:5" x14ac:dyDescent="0.2">
      <c r="E3018" s="9"/>
    </row>
    <row r="3019" spans="5:5" x14ac:dyDescent="0.2">
      <c r="E3019" s="9"/>
    </row>
    <row r="3020" spans="5:5" x14ac:dyDescent="0.2">
      <c r="E3020" s="9"/>
    </row>
    <row r="3021" spans="5:5" x14ac:dyDescent="0.2">
      <c r="E3021" s="9"/>
    </row>
    <row r="3022" spans="5:5" x14ac:dyDescent="0.2">
      <c r="E3022" s="9"/>
    </row>
    <row r="3023" spans="5:5" x14ac:dyDescent="0.2">
      <c r="E3023" s="9"/>
    </row>
    <row r="3024" spans="5:5" x14ac:dyDescent="0.2">
      <c r="E3024" s="9"/>
    </row>
    <row r="3025" spans="5:5" x14ac:dyDescent="0.2">
      <c r="E3025" s="9"/>
    </row>
    <row r="3026" spans="5:5" x14ac:dyDescent="0.2">
      <c r="E3026" s="9"/>
    </row>
    <row r="3027" spans="5:5" x14ac:dyDescent="0.2">
      <c r="E3027" s="9"/>
    </row>
    <row r="3028" spans="5:5" x14ac:dyDescent="0.2">
      <c r="E3028" s="9"/>
    </row>
    <row r="3029" spans="5:5" x14ac:dyDescent="0.2">
      <c r="E3029" s="9"/>
    </row>
    <row r="3030" spans="5:5" x14ac:dyDescent="0.2">
      <c r="E3030" s="9"/>
    </row>
    <row r="3031" spans="5:5" x14ac:dyDescent="0.2">
      <c r="E3031" s="9"/>
    </row>
    <row r="3032" spans="5:5" x14ac:dyDescent="0.2">
      <c r="E3032" s="9"/>
    </row>
    <row r="3033" spans="5:5" x14ac:dyDescent="0.2">
      <c r="E3033" s="9"/>
    </row>
    <row r="3034" spans="5:5" x14ac:dyDescent="0.2">
      <c r="E3034" s="9"/>
    </row>
    <row r="3035" spans="5:5" x14ac:dyDescent="0.2">
      <c r="E3035" s="9"/>
    </row>
    <row r="3036" spans="5:5" x14ac:dyDescent="0.2">
      <c r="E3036" s="9"/>
    </row>
    <row r="3037" spans="5:5" x14ac:dyDescent="0.2">
      <c r="E3037" s="9"/>
    </row>
    <row r="3038" spans="5:5" x14ac:dyDescent="0.2">
      <c r="E3038" s="9"/>
    </row>
    <row r="3039" spans="5:5" x14ac:dyDescent="0.2">
      <c r="E3039" s="9"/>
    </row>
    <row r="3040" spans="5:5" x14ac:dyDescent="0.2">
      <c r="E3040" s="9"/>
    </row>
    <row r="3041" spans="5:5" x14ac:dyDescent="0.2">
      <c r="E3041" s="9"/>
    </row>
    <row r="3042" spans="5:5" x14ac:dyDescent="0.2">
      <c r="E3042" s="9"/>
    </row>
    <row r="3043" spans="5:5" x14ac:dyDescent="0.2">
      <c r="E3043" s="9"/>
    </row>
    <row r="3044" spans="5:5" x14ac:dyDescent="0.2">
      <c r="E3044" s="9"/>
    </row>
    <row r="3045" spans="5:5" x14ac:dyDescent="0.2">
      <c r="E3045" s="9"/>
    </row>
    <row r="3046" spans="5:5" x14ac:dyDescent="0.2">
      <c r="E3046" s="9"/>
    </row>
    <row r="3047" spans="5:5" x14ac:dyDescent="0.2">
      <c r="E3047" s="9"/>
    </row>
    <row r="3048" spans="5:5" x14ac:dyDescent="0.2">
      <c r="E3048" s="9"/>
    </row>
    <row r="3049" spans="5:5" x14ac:dyDescent="0.2">
      <c r="E3049" s="9"/>
    </row>
    <row r="3050" spans="5:5" x14ac:dyDescent="0.2">
      <c r="E3050" s="9"/>
    </row>
    <row r="3051" spans="5:5" x14ac:dyDescent="0.2">
      <c r="E3051" s="9"/>
    </row>
    <row r="3052" spans="5:5" x14ac:dyDescent="0.2">
      <c r="E3052" s="9"/>
    </row>
    <row r="3053" spans="5:5" x14ac:dyDescent="0.2">
      <c r="E3053" s="9"/>
    </row>
    <row r="3054" spans="5:5" x14ac:dyDescent="0.2">
      <c r="E3054" s="9"/>
    </row>
    <row r="3055" spans="5:5" x14ac:dyDescent="0.2">
      <c r="E3055" s="9"/>
    </row>
    <row r="3056" spans="5:5" x14ac:dyDescent="0.2">
      <c r="E3056" s="9"/>
    </row>
    <row r="3057" spans="5:5" x14ac:dyDescent="0.2">
      <c r="E3057" s="9"/>
    </row>
    <row r="3058" spans="5:5" x14ac:dyDescent="0.2">
      <c r="E3058" s="9"/>
    </row>
    <row r="3059" spans="5:5" x14ac:dyDescent="0.2">
      <c r="E3059" s="9"/>
    </row>
    <row r="3060" spans="5:5" x14ac:dyDescent="0.2">
      <c r="E3060" s="9"/>
    </row>
    <row r="3061" spans="5:5" x14ac:dyDescent="0.2">
      <c r="E3061" s="9"/>
    </row>
    <row r="3062" spans="5:5" x14ac:dyDescent="0.2">
      <c r="E3062" s="9"/>
    </row>
    <row r="3063" spans="5:5" x14ac:dyDescent="0.2">
      <c r="E3063" s="9"/>
    </row>
    <row r="3064" spans="5:5" x14ac:dyDescent="0.2">
      <c r="E3064" s="9"/>
    </row>
    <row r="3065" spans="5:5" x14ac:dyDescent="0.2">
      <c r="E3065" s="9"/>
    </row>
    <row r="3066" spans="5:5" x14ac:dyDescent="0.2">
      <c r="E3066" s="9"/>
    </row>
    <row r="3067" spans="5:5" x14ac:dyDescent="0.2">
      <c r="E3067" s="9"/>
    </row>
    <row r="3068" spans="5:5" x14ac:dyDescent="0.2">
      <c r="E3068" s="9"/>
    </row>
    <row r="3069" spans="5:5" x14ac:dyDescent="0.2">
      <c r="E3069" s="9"/>
    </row>
    <row r="3070" spans="5:5" x14ac:dyDescent="0.2">
      <c r="E3070" s="9"/>
    </row>
    <row r="3071" spans="5:5" x14ac:dyDescent="0.2">
      <c r="E3071" s="9"/>
    </row>
    <row r="3072" spans="5:5" x14ac:dyDescent="0.2">
      <c r="E3072" s="9"/>
    </row>
    <row r="3073" spans="5:5" x14ac:dyDescent="0.2">
      <c r="E3073" s="9"/>
    </row>
    <row r="3074" spans="5:5" x14ac:dyDescent="0.2">
      <c r="E3074" s="9"/>
    </row>
    <row r="3075" spans="5:5" x14ac:dyDescent="0.2">
      <c r="E3075" s="9"/>
    </row>
    <row r="3076" spans="5:5" x14ac:dyDescent="0.2">
      <c r="E3076" s="9"/>
    </row>
    <row r="3077" spans="5:5" x14ac:dyDescent="0.2">
      <c r="E3077" s="9"/>
    </row>
    <row r="3078" spans="5:5" x14ac:dyDescent="0.2">
      <c r="E3078" s="9"/>
    </row>
    <row r="3079" spans="5:5" x14ac:dyDescent="0.2">
      <c r="E3079" s="9"/>
    </row>
    <row r="3080" spans="5:5" x14ac:dyDescent="0.2">
      <c r="E3080" s="9"/>
    </row>
    <row r="3081" spans="5:5" x14ac:dyDescent="0.2">
      <c r="E3081" s="9"/>
    </row>
    <row r="3082" spans="5:5" x14ac:dyDescent="0.2">
      <c r="E3082" s="9"/>
    </row>
    <row r="3083" spans="5:5" x14ac:dyDescent="0.2">
      <c r="E3083" s="9"/>
    </row>
    <row r="3084" spans="5:5" x14ac:dyDescent="0.2">
      <c r="E3084" s="9"/>
    </row>
    <row r="3085" spans="5:5" x14ac:dyDescent="0.2">
      <c r="E3085" s="9"/>
    </row>
    <row r="3086" spans="5:5" x14ac:dyDescent="0.2">
      <c r="E3086" s="9"/>
    </row>
    <row r="3087" spans="5:5" x14ac:dyDescent="0.2">
      <c r="E3087" s="9"/>
    </row>
    <row r="3088" spans="5:5" x14ac:dyDescent="0.2">
      <c r="E3088" s="9"/>
    </row>
    <row r="3089" spans="5:5" x14ac:dyDescent="0.2">
      <c r="E3089" s="9"/>
    </row>
    <row r="3090" spans="5:5" x14ac:dyDescent="0.2">
      <c r="E3090" s="9"/>
    </row>
    <row r="3091" spans="5:5" x14ac:dyDescent="0.2">
      <c r="E3091" s="9"/>
    </row>
    <row r="3092" spans="5:5" x14ac:dyDescent="0.2">
      <c r="E3092" s="9"/>
    </row>
    <row r="3093" spans="5:5" x14ac:dyDescent="0.2">
      <c r="E3093" s="9"/>
    </row>
    <row r="3094" spans="5:5" x14ac:dyDescent="0.2">
      <c r="E3094" s="9"/>
    </row>
    <row r="3095" spans="5:5" x14ac:dyDescent="0.2">
      <c r="E3095" s="9"/>
    </row>
    <row r="3096" spans="5:5" x14ac:dyDescent="0.2">
      <c r="E3096" s="9"/>
    </row>
    <row r="3097" spans="5:5" x14ac:dyDescent="0.2">
      <c r="E3097" s="9"/>
    </row>
    <row r="3098" spans="5:5" x14ac:dyDescent="0.2">
      <c r="E3098" s="9"/>
    </row>
    <row r="3099" spans="5:5" x14ac:dyDescent="0.2">
      <c r="E3099" s="9"/>
    </row>
    <row r="3100" spans="5:5" x14ac:dyDescent="0.2">
      <c r="E3100" s="9"/>
    </row>
    <row r="3101" spans="5:5" x14ac:dyDescent="0.2">
      <c r="E3101" s="9"/>
    </row>
    <row r="3102" spans="5:5" x14ac:dyDescent="0.2">
      <c r="E3102" s="9"/>
    </row>
    <row r="3103" spans="5:5" x14ac:dyDescent="0.2">
      <c r="E3103" s="9"/>
    </row>
    <row r="3104" spans="5:5" x14ac:dyDescent="0.2">
      <c r="E3104" s="9"/>
    </row>
    <row r="3105" spans="5:5" x14ac:dyDescent="0.2">
      <c r="E3105" s="9"/>
    </row>
    <row r="3106" spans="5:5" x14ac:dyDescent="0.2">
      <c r="E3106" s="9"/>
    </row>
    <row r="3107" spans="5:5" x14ac:dyDescent="0.2">
      <c r="E3107" s="9"/>
    </row>
    <row r="3108" spans="5:5" x14ac:dyDescent="0.2">
      <c r="E3108" s="9"/>
    </row>
    <row r="3109" spans="5:5" x14ac:dyDescent="0.2">
      <c r="E3109" s="9"/>
    </row>
    <row r="3110" spans="5:5" x14ac:dyDescent="0.2">
      <c r="E3110" s="9"/>
    </row>
    <row r="3111" spans="5:5" x14ac:dyDescent="0.2">
      <c r="E3111" s="9"/>
    </row>
    <row r="3112" spans="5:5" x14ac:dyDescent="0.2">
      <c r="E3112" s="9"/>
    </row>
    <row r="3113" spans="5:5" x14ac:dyDescent="0.2">
      <c r="E3113" s="9"/>
    </row>
    <row r="3114" spans="5:5" x14ac:dyDescent="0.2">
      <c r="E3114" s="9"/>
    </row>
    <row r="3115" spans="5:5" x14ac:dyDescent="0.2">
      <c r="E3115" s="9"/>
    </row>
    <row r="3116" spans="5:5" x14ac:dyDescent="0.2">
      <c r="E3116" s="9"/>
    </row>
    <row r="3117" spans="5:5" x14ac:dyDescent="0.2">
      <c r="E3117" s="9"/>
    </row>
    <row r="3118" spans="5:5" x14ac:dyDescent="0.2">
      <c r="E3118" s="9"/>
    </row>
    <row r="3119" spans="5:5" x14ac:dyDescent="0.2">
      <c r="E3119" s="9"/>
    </row>
    <row r="3120" spans="5:5" x14ac:dyDescent="0.2">
      <c r="E3120" s="9"/>
    </row>
    <row r="3121" spans="5:5" x14ac:dyDescent="0.2">
      <c r="E3121" s="9"/>
    </row>
    <row r="3122" spans="5:5" x14ac:dyDescent="0.2">
      <c r="E3122" s="9"/>
    </row>
    <row r="3123" spans="5:5" x14ac:dyDescent="0.2">
      <c r="E3123" s="9"/>
    </row>
    <row r="3124" spans="5:5" x14ac:dyDescent="0.2">
      <c r="E3124" s="9"/>
    </row>
    <row r="3125" spans="5:5" x14ac:dyDescent="0.2">
      <c r="E3125" s="9"/>
    </row>
    <row r="3126" spans="5:5" x14ac:dyDescent="0.2">
      <c r="E3126" s="9"/>
    </row>
    <row r="3127" spans="5:5" x14ac:dyDescent="0.2">
      <c r="E3127" s="9"/>
    </row>
    <row r="3128" spans="5:5" x14ac:dyDescent="0.2">
      <c r="E3128" s="9"/>
    </row>
    <row r="3129" spans="5:5" x14ac:dyDescent="0.2">
      <c r="E3129" s="9"/>
    </row>
    <row r="3130" spans="5:5" x14ac:dyDescent="0.2">
      <c r="E3130" s="9"/>
    </row>
    <row r="3131" spans="5:5" x14ac:dyDescent="0.2">
      <c r="E3131" s="9"/>
    </row>
    <row r="3132" spans="5:5" x14ac:dyDescent="0.2">
      <c r="E3132" s="9"/>
    </row>
    <row r="3133" spans="5:5" x14ac:dyDescent="0.2">
      <c r="E3133" s="9"/>
    </row>
    <row r="3134" spans="5:5" x14ac:dyDescent="0.2">
      <c r="E3134" s="9"/>
    </row>
    <row r="3135" spans="5:5" x14ac:dyDescent="0.2">
      <c r="E3135" s="9"/>
    </row>
    <row r="3136" spans="5:5" x14ac:dyDescent="0.2">
      <c r="E3136" s="9"/>
    </row>
    <row r="3137" spans="5:5" x14ac:dyDescent="0.2">
      <c r="E3137" s="9"/>
    </row>
    <row r="3138" spans="5:5" x14ac:dyDescent="0.2">
      <c r="E3138" s="9"/>
    </row>
    <row r="3139" spans="5:5" x14ac:dyDescent="0.2">
      <c r="E3139" s="9"/>
    </row>
    <row r="3140" spans="5:5" x14ac:dyDescent="0.2">
      <c r="E3140" s="9"/>
    </row>
    <row r="3141" spans="5:5" x14ac:dyDescent="0.2">
      <c r="E3141" s="9"/>
    </row>
    <row r="3142" spans="5:5" x14ac:dyDescent="0.2">
      <c r="E3142" s="9"/>
    </row>
    <row r="3143" spans="5:5" x14ac:dyDescent="0.2">
      <c r="E3143" s="9"/>
    </row>
    <row r="3144" spans="5:5" x14ac:dyDescent="0.2">
      <c r="E3144" s="9"/>
    </row>
    <row r="3145" spans="5:5" x14ac:dyDescent="0.2">
      <c r="E3145" s="9"/>
    </row>
    <row r="3146" spans="5:5" x14ac:dyDescent="0.2">
      <c r="E3146" s="9"/>
    </row>
    <row r="3147" spans="5:5" x14ac:dyDescent="0.2">
      <c r="E3147" s="9"/>
    </row>
    <row r="3148" spans="5:5" x14ac:dyDescent="0.2">
      <c r="E3148" s="9"/>
    </row>
    <row r="3149" spans="5:5" x14ac:dyDescent="0.2">
      <c r="E3149" s="9"/>
    </row>
    <row r="3150" spans="5:5" x14ac:dyDescent="0.2">
      <c r="E3150" s="9"/>
    </row>
    <row r="3151" spans="5:5" x14ac:dyDescent="0.2">
      <c r="E3151" s="9"/>
    </row>
    <row r="3152" spans="5:5" x14ac:dyDescent="0.2">
      <c r="E3152" s="9"/>
    </row>
    <row r="3153" spans="5:5" x14ac:dyDescent="0.2">
      <c r="E3153" s="9"/>
    </row>
    <row r="3154" spans="5:5" x14ac:dyDescent="0.2">
      <c r="E3154" s="9"/>
    </row>
    <row r="3155" spans="5:5" x14ac:dyDescent="0.2">
      <c r="E3155" s="9"/>
    </row>
    <row r="3156" spans="5:5" x14ac:dyDescent="0.2">
      <c r="E3156" s="9"/>
    </row>
    <row r="3157" spans="5:5" x14ac:dyDescent="0.2">
      <c r="E3157" s="9"/>
    </row>
    <row r="3158" spans="5:5" x14ac:dyDescent="0.2">
      <c r="E3158" s="9"/>
    </row>
    <row r="3159" spans="5:5" x14ac:dyDescent="0.2">
      <c r="E3159" s="9"/>
    </row>
    <row r="3160" spans="5:5" x14ac:dyDescent="0.2">
      <c r="E3160" s="9"/>
    </row>
    <row r="3161" spans="5:5" x14ac:dyDescent="0.2">
      <c r="E3161" s="9"/>
    </row>
    <row r="3162" spans="5:5" x14ac:dyDescent="0.2">
      <c r="E3162" s="9"/>
    </row>
    <row r="3163" spans="5:5" x14ac:dyDescent="0.2">
      <c r="E3163" s="9"/>
    </row>
    <row r="3164" spans="5:5" x14ac:dyDescent="0.2">
      <c r="E3164" s="9"/>
    </row>
    <row r="3165" spans="5:5" x14ac:dyDescent="0.2">
      <c r="E3165" s="9"/>
    </row>
    <row r="3166" spans="5:5" x14ac:dyDescent="0.2">
      <c r="E3166" s="9"/>
    </row>
    <row r="3167" spans="5:5" x14ac:dyDescent="0.2">
      <c r="E3167" s="9"/>
    </row>
    <row r="3168" spans="5:5" x14ac:dyDescent="0.2">
      <c r="E3168" s="9"/>
    </row>
    <row r="3169" spans="5:5" x14ac:dyDescent="0.2">
      <c r="E3169" s="9"/>
    </row>
    <row r="3170" spans="5:5" x14ac:dyDescent="0.2">
      <c r="E3170" s="9"/>
    </row>
    <row r="3171" spans="5:5" x14ac:dyDescent="0.2">
      <c r="E3171" s="9"/>
    </row>
    <row r="3172" spans="5:5" x14ac:dyDescent="0.2">
      <c r="E3172" s="9"/>
    </row>
    <row r="3173" spans="5:5" x14ac:dyDescent="0.2">
      <c r="E3173" s="9"/>
    </row>
    <row r="3174" spans="5:5" x14ac:dyDescent="0.2">
      <c r="E3174" s="9"/>
    </row>
    <row r="3175" spans="5:5" x14ac:dyDescent="0.2">
      <c r="E3175" s="9"/>
    </row>
    <row r="3176" spans="5:5" x14ac:dyDescent="0.2">
      <c r="E3176" s="9"/>
    </row>
    <row r="3177" spans="5:5" x14ac:dyDescent="0.2">
      <c r="E3177" s="9"/>
    </row>
    <row r="3178" spans="5:5" x14ac:dyDescent="0.2">
      <c r="E3178" s="9"/>
    </row>
    <row r="3179" spans="5:5" x14ac:dyDescent="0.2">
      <c r="E3179" s="9"/>
    </row>
    <row r="3180" spans="5:5" x14ac:dyDescent="0.2">
      <c r="E3180" s="9"/>
    </row>
    <row r="3181" spans="5:5" x14ac:dyDescent="0.2">
      <c r="E3181" s="9"/>
    </row>
    <row r="3182" spans="5:5" x14ac:dyDescent="0.2">
      <c r="E3182" s="9"/>
    </row>
    <row r="3183" spans="5:5" x14ac:dyDescent="0.2">
      <c r="E3183" s="9"/>
    </row>
    <row r="3184" spans="5:5" x14ac:dyDescent="0.2">
      <c r="E3184" s="9"/>
    </row>
    <row r="3185" spans="5:5" x14ac:dyDescent="0.2">
      <c r="E3185" s="9"/>
    </row>
    <row r="3186" spans="5:5" x14ac:dyDescent="0.2">
      <c r="E3186" s="9"/>
    </row>
    <row r="3187" spans="5:5" x14ac:dyDescent="0.2">
      <c r="E3187" s="9"/>
    </row>
    <row r="3188" spans="5:5" x14ac:dyDescent="0.2">
      <c r="E3188" s="9"/>
    </row>
    <row r="3189" spans="5:5" x14ac:dyDescent="0.2">
      <c r="E3189" s="9"/>
    </row>
    <row r="3190" spans="5:5" x14ac:dyDescent="0.2">
      <c r="E3190" s="9"/>
    </row>
    <row r="3191" spans="5:5" x14ac:dyDescent="0.2">
      <c r="E3191" s="9"/>
    </row>
    <row r="3192" spans="5:5" x14ac:dyDescent="0.2">
      <c r="E3192" s="9"/>
    </row>
    <row r="3193" spans="5:5" x14ac:dyDescent="0.2">
      <c r="E3193" s="9"/>
    </row>
    <row r="3194" spans="5:5" x14ac:dyDescent="0.2">
      <c r="E3194" s="9"/>
    </row>
    <row r="3195" spans="5:5" x14ac:dyDescent="0.2">
      <c r="E3195" s="9"/>
    </row>
    <row r="3196" spans="5:5" x14ac:dyDescent="0.2">
      <c r="E3196" s="9"/>
    </row>
    <row r="3197" spans="5:5" x14ac:dyDescent="0.2">
      <c r="E3197" s="9"/>
    </row>
    <row r="3198" spans="5:5" x14ac:dyDescent="0.2">
      <c r="E3198" s="9"/>
    </row>
    <row r="3199" spans="5:5" x14ac:dyDescent="0.2">
      <c r="E3199" s="9"/>
    </row>
    <row r="3200" spans="5:5" x14ac:dyDescent="0.2">
      <c r="E3200" s="9"/>
    </row>
    <row r="3201" spans="5:5" x14ac:dyDescent="0.2">
      <c r="E3201" s="9"/>
    </row>
    <row r="3202" spans="5:5" x14ac:dyDescent="0.2">
      <c r="E3202" s="9"/>
    </row>
    <row r="3203" spans="5:5" x14ac:dyDescent="0.2">
      <c r="E3203" s="9"/>
    </row>
    <row r="3204" spans="5:5" x14ac:dyDescent="0.2">
      <c r="E3204" s="9"/>
    </row>
    <row r="3205" spans="5:5" x14ac:dyDescent="0.2">
      <c r="E3205" s="9"/>
    </row>
    <row r="3206" spans="5:5" x14ac:dyDescent="0.2">
      <c r="E3206" s="9"/>
    </row>
    <row r="3207" spans="5:5" x14ac:dyDescent="0.2">
      <c r="E3207" s="9"/>
    </row>
    <row r="3208" spans="5:5" x14ac:dyDescent="0.2">
      <c r="E3208" s="9"/>
    </row>
    <row r="3209" spans="5:5" x14ac:dyDescent="0.2">
      <c r="E3209" s="9"/>
    </row>
    <row r="3210" spans="5:5" x14ac:dyDescent="0.2">
      <c r="E3210" s="9"/>
    </row>
    <row r="3211" spans="5:5" x14ac:dyDescent="0.2">
      <c r="E3211" s="9"/>
    </row>
    <row r="3212" spans="5:5" x14ac:dyDescent="0.2">
      <c r="E3212" s="9"/>
    </row>
    <row r="3213" spans="5:5" x14ac:dyDescent="0.2">
      <c r="E3213" s="9"/>
    </row>
    <row r="3214" spans="5:5" x14ac:dyDescent="0.2">
      <c r="E3214" s="9"/>
    </row>
    <row r="3215" spans="5:5" x14ac:dyDescent="0.2">
      <c r="E3215" s="9"/>
    </row>
    <row r="3216" spans="5:5" x14ac:dyDescent="0.2">
      <c r="E3216" s="9"/>
    </row>
    <row r="3217" spans="5:5" x14ac:dyDescent="0.2">
      <c r="E3217" s="9"/>
    </row>
    <row r="3218" spans="5:5" x14ac:dyDescent="0.2">
      <c r="E3218" s="9"/>
    </row>
    <row r="3219" spans="5:5" x14ac:dyDescent="0.2">
      <c r="E3219" s="9"/>
    </row>
    <row r="3220" spans="5:5" x14ac:dyDescent="0.2">
      <c r="E3220" s="9"/>
    </row>
    <row r="3221" spans="5:5" x14ac:dyDescent="0.2">
      <c r="E3221" s="9"/>
    </row>
    <row r="3222" spans="5:5" x14ac:dyDescent="0.2">
      <c r="E3222" s="9"/>
    </row>
    <row r="3223" spans="5:5" x14ac:dyDescent="0.2">
      <c r="E3223" s="9"/>
    </row>
    <row r="3224" spans="5:5" x14ac:dyDescent="0.2">
      <c r="E3224" s="9"/>
    </row>
    <row r="3225" spans="5:5" x14ac:dyDescent="0.2">
      <c r="E3225" s="9"/>
    </row>
    <row r="3226" spans="5:5" x14ac:dyDescent="0.2">
      <c r="E3226" s="9"/>
    </row>
    <row r="3227" spans="5:5" x14ac:dyDescent="0.2">
      <c r="E3227" s="9"/>
    </row>
    <row r="3228" spans="5:5" x14ac:dyDescent="0.2">
      <c r="E3228" s="9"/>
    </row>
    <row r="3229" spans="5:5" x14ac:dyDescent="0.2">
      <c r="E3229" s="9"/>
    </row>
    <row r="3230" spans="5:5" x14ac:dyDescent="0.2">
      <c r="E3230" s="9"/>
    </row>
    <row r="3231" spans="5:5" x14ac:dyDescent="0.2">
      <c r="E3231" s="9"/>
    </row>
    <row r="3232" spans="5:5" x14ac:dyDescent="0.2">
      <c r="E3232" s="9"/>
    </row>
    <row r="3233" spans="5:5" x14ac:dyDescent="0.2">
      <c r="E3233" s="9"/>
    </row>
    <row r="3234" spans="5:5" x14ac:dyDescent="0.2">
      <c r="E3234" s="9"/>
    </row>
    <row r="3235" spans="5:5" x14ac:dyDescent="0.2">
      <c r="E3235" s="9"/>
    </row>
    <row r="3236" spans="5:5" x14ac:dyDescent="0.2">
      <c r="E3236" s="9"/>
    </row>
    <row r="3237" spans="5:5" x14ac:dyDescent="0.2">
      <c r="E3237" s="9"/>
    </row>
    <row r="3238" spans="5:5" x14ac:dyDescent="0.2">
      <c r="E3238" s="9"/>
    </row>
    <row r="3239" spans="5:5" x14ac:dyDescent="0.2">
      <c r="E3239" s="9"/>
    </row>
    <row r="3240" spans="5:5" x14ac:dyDescent="0.2">
      <c r="E3240" s="9"/>
    </row>
    <row r="3241" spans="5:5" x14ac:dyDescent="0.2">
      <c r="E3241" s="9"/>
    </row>
    <row r="3242" spans="5:5" x14ac:dyDescent="0.2">
      <c r="E3242" s="9"/>
    </row>
    <row r="3243" spans="5:5" x14ac:dyDescent="0.2">
      <c r="E3243" s="9"/>
    </row>
    <row r="3244" spans="5:5" x14ac:dyDescent="0.2">
      <c r="E3244" s="9"/>
    </row>
    <row r="3245" spans="5:5" x14ac:dyDescent="0.2">
      <c r="E3245" s="9"/>
    </row>
    <row r="3246" spans="5:5" x14ac:dyDescent="0.2">
      <c r="E3246" s="9"/>
    </row>
    <row r="3247" spans="5:5" x14ac:dyDescent="0.2">
      <c r="E3247" s="9"/>
    </row>
    <row r="3248" spans="5:5" x14ac:dyDescent="0.2">
      <c r="E3248" s="9"/>
    </row>
    <row r="3249" spans="5:5" x14ac:dyDescent="0.2">
      <c r="E3249" s="9"/>
    </row>
    <row r="3250" spans="5:5" x14ac:dyDescent="0.2">
      <c r="E3250" s="9"/>
    </row>
    <row r="3251" spans="5:5" x14ac:dyDescent="0.2">
      <c r="E3251" s="9"/>
    </row>
    <row r="3252" spans="5:5" x14ac:dyDescent="0.2">
      <c r="E3252" s="9"/>
    </row>
    <row r="3253" spans="5:5" x14ac:dyDescent="0.2">
      <c r="E3253" s="9"/>
    </row>
    <row r="3254" spans="5:5" x14ac:dyDescent="0.2">
      <c r="E3254" s="9"/>
    </row>
    <row r="3255" spans="5:5" x14ac:dyDescent="0.2">
      <c r="E3255" s="9"/>
    </row>
    <row r="3256" spans="5:5" x14ac:dyDescent="0.2">
      <c r="E3256" s="9"/>
    </row>
    <row r="3257" spans="5:5" x14ac:dyDescent="0.2">
      <c r="E3257" s="9"/>
    </row>
    <row r="3258" spans="5:5" x14ac:dyDescent="0.2">
      <c r="E3258" s="9"/>
    </row>
    <row r="3259" spans="5:5" x14ac:dyDescent="0.2">
      <c r="E3259" s="9"/>
    </row>
    <row r="3260" spans="5:5" x14ac:dyDescent="0.2">
      <c r="E3260" s="9"/>
    </row>
    <row r="3261" spans="5:5" x14ac:dyDescent="0.2">
      <c r="E3261" s="9"/>
    </row>
    <row r="3262" spans="5:5" x14ac:dyDescent="0.2">
      <c r="E3262" s="9"/>
    </row>
    <row r="3263" spans="5:5" x14ac:dyDescent="0.2">
      <c r="E3263" s="9"/>
    </row>
    <row r="3264" spans="5:5" x14ac:dyDescent="0.2">
      <c r="E3264" s="9"/>
    </row>
    <row r="3265" spans="5:5" x14ac:dyDescent="0.2">
      <c r="E3265" s="9"/>
    </row>
    <row r="3266" spans="5:5" x14ac:dyDescent="0.2">
      <c r="E3266" s="9"/>
    </row>
    <row r="3267" spans="5:5" x14ac:dyDescent="0.2">
      <c r="E3267" s="9"/>
    </row>
    <row r="3268" spans="5:5" x14ac:dyDescent="0.2">
      <c r="E3268" s="9"/>
    </row>
    <row r="3269" spans="5:5" x14ac:dyDescent="0.2">
      <c r="E3269" s="9"/>
    </row>
    <row r="3270" spans="5:5" x14ac:dyDescent="0.2">
      <c r="E3270" s="9"/>
    </row>
    <row r="3271" spans="5:5" x14ac:dyDescent="0.2">
      <c r="E3271" s="9"/>
    </row>
    <row r="3272" spans="5:5" x14ac:dyDescent="0.2">
      <c r="E3272" s="9"/>
    </row>
    <row r="3273" spans="5:5" x14ac:dyDescent="0.2">
      <c r="E3273" s="9"/>
    </row>
    <row r="3274" spans="5:5" x14ac:dyDescent="0.2">
      <c r="E3274" s="9"/>
    </row>
    <row r="3275" spans="5:5" x14ac:dyDescent="0.2">
      <c r="E3275" s="9"/>
    </row>
    <row r="3276" spans="5:5" x14ac:dyDescent="0.2">
      <c r="E3276" s="9"/>
    </row>
    <row r="3277" spans="5:5" x14ac:dyDescent="0.2">
      <c r="E3277" s="9"/>
    </row>
    <row r="3278" spans="5:5" x14ac:dyDescent="0.2">
      <c r="E3278" s="9"/>
    </row>
    <row r="3279" spans="5:5" x14ac:dyDescent="0.2">
      <c r="E3279" s="9"/>
    </row>
    <row r="3280" spans="5:5" x14ac:dyDescent="0.2">
      <c r="E3280" s="9"/>
    </row>
    <row r="3281" spans="5:5" x14ac:dyDescent="0.2">
      <c r="E3281" s="9"/>
    </row>
    <row r="3282" spans="5:5" x14ac:dyDescent="0.2">
      <c r="E3282" s="9"/>
    </row>
    <row r="3283" spans="5:5" x14ac:dyDescent="0.2">
      <c r="E3283" s="9"/>
    </row>
    <row r="3284" spans="5:5" x14ac:dyDescent="0.2">
      <c r="E3284" s="9"/>
    </row>
    <row r="3285" spans="5:5" x14ac:dyDescent="0.2">
      <c r="E3285" s="9"/>
    </row>
    <row r="3286" spans="5:5" x14ac:dyDescent="0.2">
      <c r="E3286" s="9"/>
    </row>
    <row r="3287" spans="5:5" x14ac:dyDescent="0.2">
      <c r="E3287" s="9"/>
    </row>
    <row r="3288" spans="5:5" x14ac:dyDescent="0.2">
      <c r="E3288" s="9"/>
    </row>
    <row r="3289" spans="5:5" x14ac:dyDescent="0.2">
      <c r="E3289" s="9"/>
    </row>
    <row r="3290" spans="5:5" x14ac:dyDescent="0.2">
      <c r="E3290" s="9"/>
    </row>
    <row r="3291" spans="5:5" x14ac:dyDescent="0.2">
      <c r="E3291" s="9"/>
    </row>
    <row r="3292" spans="5:5" x14ac:dyDescent="0.2">
      <c r="E3292" s="9"/>
    </row>
    <row r="3293" spans="5:5" x14ac:dyDescent="0.2">
      <c r="E3293" s="9"/>
    </row>
    <row r="3294" spans="5:5" x14ac:dyDescent="0.2">
      <c r="E3294" s="9"/>
    </row>
    <row r="3295" spans="5:5" x14ac:dyDescent="0.2">
      <c r="E3295" s="9"/>
    </row>
    <row r="3296" spans="5:5" x14ac:dyDescent="0.2">
      <c r="E3296" s="9"/>
    </row>
    <row r="3297" spans="5:5" x14ac:dyDescent="0.2">
      <c r="E3297" s="9"/>
    </row>
    <row r="3298" spans="5:5" x14ac:dyDescent="0.2">
      <c r="E3298" s="9"/>
    </row>
    <row r="3299" spans="5:5" x14ac:dyDescent="0.2">
      <c r="E3299" s="9"/>
    </row>
    <row r="3300" spans="5:5" x14ac:dyDescent="0.2">
      <c r="E3300" s="9"/>
    </row>
    <row r="3301" spans="5:5" x14ac:dyDescent="0.2">
      <c r="E3301" s="9"/>
    </row>
    <row r="3302" spans="5:5" x14ac:dyDescent="0.2">
      <c r="E3302" s="9"/>
    </row>
    <row r="3303" spans="5:5" x14ac:dyDescent="0.2">
      <c r="E3303" s="9"/>
    </row>
    <row r="3304" spans="5:5" x14ac:dyDescent="0.2">
      <c r="E3304" s="9"/>
    </row>
    <row r="3305" spans="5:5" x14ac:dyDescent="0.2">
      <c r="E3305" s="9"/>
    </row>
    <row r="3306" spans="5:5" x14ac:dyDescent="0.2">
      <c r="E3306" s="9"/>
    </row>
    <row r="3307" spans="5:5" x14ac:dyDescent="0.2">
      <c r="E3307" s="9"/>
    </row>
    <row r="3308" spans="5:5" x14ac:dyDescent="0.2">
      <c r="E3308" s="9"/>
    </row>
    <row r="3309" spans="5:5" x14ac:dyDescent="0.2">
      <c r="E3309" s="9"/>
    </row>
    <row r="3310" spans="5:5" x14ac:dyDescent="0.2">
      <c r="E3310" s="9"/>
    </row>
    <row r="3311" spans="5:5" x14ac:dyDescent="0.2">
      <c r="E3311" s="9"/>
    </row>
    <row r="3312" spans="5:5" x14ac:dyDescent="0.2">
      <c r="E3312" s="9"/>
    </row>
    <row r="3313" spans="5:5" x14ac:dyDescent="0.2">
      <c r="E3313" s="9"/>
    </row>
    <row r="3314" spans="5:5" x14ac:dyDescent="0.2">
      <c r="E3314" s="9"/>
    </row>
    <row r="3315" spans="5:5" x14ac:dyDescent="0.2">
      <c r="E3315" s="9"/>
    </row>
    <row r="3316" spans="5:5" x14ac:dyDescent="0.2">
      <c r="E3316" s="9"/>
    </row>
    <row r="3317" spans="5:5" x14ac:dyDescent="0.2">
      <c r="E3317" s="9"/>
    </row>
    <row r="3318" spans="5:5" x14ac:dyDescent="0.2">
      <c r="E3318" s="9"/>
    </row>
    <row r="3319" spans="5:5" x14ac:dyDescent="0.2">
      <c r="E3319" s="9"/>
    </row>
    <row r="3320" spans="5:5" x14ac:dyDescent="0.2">
      <c r="E3320" s="9"/>
    </row>
    <row r="3321" spans="5:5" x14ac:dyDescent="0.2">
      <c r="E3321" s="9"/>
    </row>
    <row r="3322" spans="5:5" x14ac:dyDescent="0.2">
      <c r="E3322" s="9"/>
    </row>
    <row r="3323" spans="5:5" x14ac:dyDescent="0.2">
      <c r="E3323" s="9"/>
    </row>
    <row r="3324" spans="5:5" x14ac:dyDescent="0.2">
      <c r="E3324" s="9"/>
    </row>
    <row r="3325" spans="5:5" x14ac:dyDescent="0.2">
      <c r="E3325" s="9"/>
    </row>
    <row r="3326" spans="5:5" x14ac:dyDescent="0.2">
      <c r="E3326" s="9"/>
    </row>
    <row r="3327" spans="5:5" x14ac:dyDescent="0.2">
      <c r="E3327" s="9"/>
    </row>
    <row r="3328" spans="5:5" x14ac:dyDescent="0.2">
      <c r="E3328" s="9"/>
    </row>
    <row r="3329" spans="5:5" x14ac:dyDescent="0.2">
      <c r="E3329" s="9"/>
    </row>
    <row r="3330" spans="5:5" x14ac:dyDescent="0.2">
      <c r="E3330" s="9"/>
    </row>
    <row r="3331" spans="5:5" x14ac:dyDescent="0.2">
      <c r="E3331" s="9"/>
    </row>
    <row r="3332" spans="5:5" x14ac:dyDescent="0.2">
      <c r="E3332" s="9"/>
    </row>
    <row r="3333" spans="5:5" x14ac:dyDescent="0.2">
      <c r="E3333" s="9"/>
    </row>
    <row r="3334" spans="5:5" x14ac:dyDescent="0.2">
      <c r="E3334" s="9"/>
    </row>
    <row r="3335" spans="5:5" x14ac:dyDescent="0.2">
      <c r="E3335" s="9"/>
    </row>
    <row r="3336" spans="5:5" x14ac:dyDescent="0.2">
      <c r="E3336" s="9"/>
    </row>
    <row r="3337" spans="5:5" x14ac:dyDescent="0.2">
      <c r="E3337" s="9"/>
    </row>
    <row r="3338" spans="5:5" x14ac:dyDescent="0.2">
      <c r="E3338" s="9"/>
    </row>
    <row r="3339" spans="5:5" x14ac:dyDescent="0.2">
      <c r="E3339" s="9"/>
    </row>
    <row r="3340" spans="5:5" x14ac:dyDescent="0.2">
      <c r="E3340" s="9"/>
    </row>
    <row r="3341" spans="5:5" x14ac:dyDescent="0.2">
      <c r="E3341" s="9"/>
    </row>
    <row r="3342" spans="5:5" x14ac:dyDescent="0.2">
      <c r="E3342" s="9"/>
    </row>
    <row r="3343" spans="5:5" x14ac:dyDescent="0.2">
      <c r="E3343" s="9"/>
    </row>
    <row r="3344" spans="5:5" x14ac:dyDescent="0.2">
      <c r="E3344" s="9"/>
    </row>
    <row r="3345" spans="5:5" x14ac:dyDescent="0.2">
      <c r="E3345" s="9"/>
    </row>
    <row r="3346" spans="5:5" x14ac:dyDescent="0.2">
      <c r="E3346" s="9"/>
    </row>
    <row r="3347" spans="5:5" x14ac:dyDescent="0.2">
      <c r="E3347" s="9"/>
    </row>
    <row r="3348" spans="5:5" x14ac:dyDescent="0.2">
      <c r="E3348" s="9"/>
    </row>
    <row r="3349" spans="5:5" x14ac:dyDescent="0.2">
      <c r="E3349" s="9"/>
    </row>
    <row r="3350" spans="5:5" x14ac:dyDescent="0.2">
      <c r="E3350" s="9"/>
    </row>
    <row r="3351" spans="5:5" x14ac:dyDescent="0.2">
      <c r="E3351" s="9"/>
    </row>
    <row r="3352" spans="5:5" x14ac:dyDescent="0.2">
      <c r="E3352" s="9"/>
    </row>
    <row r="3353" spans="5:5" x14ac:dyDescent="0.2">
      <c r="E3353" s="9"/>
    </row>
    <row r="3354" spans="5:5" x14ac:dyDescent="0.2">
      <c r="E3354" s="9"/>
    </row>
    <row r="3355" spans="5:5" x14ac:dyDescent="0.2">
      <c r="E3355" s="9"/>
    </row>
    <row r="3356" spans="5:5" x14ac:dyDescent="0.2">
      <c r="E3356" s="9"/>
    </row>
    <row r="3357" spans="5:5" x14ac:dyDescent="0.2">
      <c r="E3357" s="9"/>
    </row>
    <row r="3358" spans="5:5" x14ac:dyDescent="0.2">
      <c r="E3358" s="9"/>
    </row>
    <row r="3359" spans="5:5" x14ac:dyDescent="0.2">
      <c r="E3359" s="9"/>
    </row>
    <row r="3360" spans="5:5" x14ac:dyDescent="0.2">
      <c r="E3360" s="9"/>
    </row>
    <row r="3361" spans="5:5" x14ac:dyDescent="0.2">
      <c r="E3361" s="9"/>
    </row>
    <row r="3362" spans="5:5" x14ac:dyDescent="0.2">
      <c r="E3362" s="9"/>
    </row>
    <row r="3363" spans="5:5" x14ac:dyDescent="0.2">
      <c r="E3363" s="9"/>
    </row>
    <row r="3364" spans="5:5" x14ac:dyDescent="0.2">
      <c r="E3364" s="9"/>
    </row>
    <row r="3365" spans="5:5" x14ac:dyDescent="0.2">
      <c r="E3365" s="9"/>
    </row>
    <row r="3366" spans="5:5" x14ac:dyDescent="0.2">
      <c r="E3366" s="9"/>
    </row>
    <row r="3367" spans="5:5" x14ac:dyDescent="0.2">
      <c r="E3367" s="9"/>
    </row>
    <row r="3368" spans="5:5" x14ac:dyDescent="0.2">
      <c r="E3368" s="9"/>
    </row>
    <row r="3369" spans="5:5" x14ac:dyDescent="0.2">
      <c r="E3369" s="9"/>
    </row>
    <row r="3370" spans="5:5" x14ac:dyDescent="0.2">
      <c r="E3370" s="9"/>
    </row>
    <row r="3371" spans="5:5" x14ac:dyDescent="0.2">
      <c r="E3371" s="9"/>
    </row>
    <row r="3372" spans="5:5" x14ac:dyDescent="0.2">
      <c r="E3372" s="9"/>
    </row>
    <row r="3373" spans="5:5" x14ac:dyDescent="0.2">
      <c r="E3373" s="9"/>
    </row>
    <row r="3374" spans="5:5" x14ac:dyDescent="0.2">
      <c r="E3374" s="9"/>
    </row>
    <row r="3375" spans="5:5" x14ac:dyDescent="0.2">
      <c r="E3375" s="9"/>
    </row>
    <row r="3376" spans="5:5" x14ac:dyDescent="0.2">
      <c r="E3376" s="9"/>
    </row>
    <row r="3377" spans="5:5" x14ac:dyDescent="0.2">
      <c r="E3377" s="9"/>
    </row>
    <row r="3378" spans="5:5" x14ac:dyDescent="0.2">
      <c r="E3378" s="9"/>
    </row>
    <row r="3379" spans="5:5" x14ac:dyDescent="0.2">
      <c r="E3379" s="9"/>
    </row>
    <row r="3380" spans="5:5" x14ac:dyDescent="0.2">
      <c r="E3380" s="9"/>
    </row>
    <row r="3381" spans="5:5" x14ac:dyDescent="0.2">
      <c r="E3381" s="9"/>
    </row>
    <row r="3382" spans="5:5" x14ac:dyDescent="0.2">
      <c r="E3382" s="9"/>
    </row>
    <row r="3383" spans="5:5" x14ac:dyDescent="0.2">
      <c r="E3383" s="9"/>
    </row>
    <row r="3384" spans="5:5" x14ac:dyDescent="0.2">
      <c r="E3384" s="9"/>
    </row>
    <row r="3385" spans="5:5" x14ac:dyDescent="0.2">
      <c r="E3385" s="9"/>
    </row>
    <row r="3386" spans="5:5" x14ac:dyDescent="0.2">
      <c r="E3386" s="9"/>
    </row>
    <row r="3387" spans="5:5" x14ac:dyDescent="0.2">
      <c r="E3387" s="9"/>
    </row>
    <row r="3388" spans="5:5" x14ac:dyDescent="0.2">
      <c r="E3388" s="9"/>
    </row>
    <row r="3389" spans="5:5" x14ac:dyDescent="0.2">
      <c r="E3389" s="9"/>
    </row>
    <row r="3390" spans="5:5" x14ac:dyDescent="0.2">
      <c r="E3390" s="9"/>
    </row>
    <row r="3391" spans="5:5" x14ac:dyDescent="0.2">
      <c r="E3391" s="9"/>
    </row>
    <row r="3392" spans="5:5" x14ac:dyDescent="0.2">
      <c r="E3392" s="9"/>
    </row>
    <row r="3393" spans="5:5" x14ac:dyDescent="0.2">
      <c r="E3393" s="9"/>
    </row>
    <row r="3394" spans="5:5" x14ac:dyDescent="0.2">
      <c r="E3394" s="9"/>
    </row>
    <row r="3395" spans="5:5" x14ac:dyDescent="0.2">
      <c r="E3395" s="9"/>
    </row>
    <row r="3396" spans="5:5" x14ac:dyDescent="0.2">
      <c r="E3396" s="9"/>
    </row>
    <row r="3397" spans="5:5" x14ac:dyDescent="0.2">
      <c r="E3397" s="9"/>
    </row>
    <row r="3398" spans="5:5" x14ac:dyDescent="0.2">
      <c r="E3398" s="9"/>
    </row>
    <row r="3399" spans="5:5" x14ac:dyDescent="0.2">
      <c r="E3399" s="9"/>
    </row>
    <row r="3400" spans="5:5" x14ac:dyDescent="0.2">
      <c r="E3400" s="9"/>
    </row>
    <row r="3401" spans="5:5" x14ac:dyDescent="0.2">
      <c r="E3401" s="9"/>
    </row>
    <row r="3402" spans="5:5" x14ac:dyDescent="0.2">
      <c r="E3402" s="9"/>
    </row>
    <row r="3403" spans="5:5" x14ac:dyDescent="0.2">
      <c r="E3403" s="9"/>
    </row>
    <row r="3404" spans="5:5" x14ac:dyDescent="0.2">
      <c r="E3404" s="9"/>
    </row>
    <row r="3405" spans="5:5" x14ac:dyDescent="0.2">
      <c r="E3405" s="9"/>
    </row>
    <row r="3406" spans="5:5" x14ac:dyDescent="0.2">
      <c r="E3406" s="9"/>
    </row>
    <row r="3407" spans="5:5" x14ac:dyDescent="0.2">
      <c r="E3407" s="9"/>
    </row>
    <row r="3408" spans="5:5" x14ac:dyDescent="0.2">
      <c r="E3408" s="9"/>
    </row>
    <row r="3409" spans="5:5" x14ac:dyDescent="0.2">
      <c r="E3409" s="9"/>
    </row>
    <row r="3410" spans="5:5" x14ac:dyDescent="0.2">
      <c r="E3410" s="9"/>
    </row>
    <row r="3411" spans="5:5" x14ac:dyDescent="0.2">
      <c r="E3411" s="9"/>
    </row>
    <row r="3412" spans="5:5" x14ac:dyDescent="0.2">
      <c r="E3412" s="9"/>
    </row>
    <row r="3413" spans="5:5" x14ac:dyDescent="0.2">
      <c r="E3413" s="9"/>
    </row>
    <row r="3414" spans="5:5" x14ac:dyDescent="0.2">
      <c r="E3414" s="9"/>
    </row>
    <row r="3415" spans="5:5" x14ac:dyDescent="0.2">
      <c r="E3415" s="9"/>
    </row>
    <row r="3416" spans="5:5" x14ac:dyDescent="0.2">
      <c r="E3416" s="9"/>
    </row>
    <row r="3417" spans="5:5" x14ac:dyDescent="0.2">
      <c r="E3417" s="9"/>
    </row>
    <row r="3418" spans="5:5" x14ac:dyDescent="0.2">
      <c r="E3418" s="9"/>
    </row>
    <row r="3419" spans="5:5" x14ac:dyDescent="0.2">
      <c r="E3419" s="9"/>
    </row>
    <row r="3420" spans="5:5" x14ac:dyDescent="0.2">
      <c r="E3420" s="9"/>
    </row>
    <row r="3421" spans="5:5" x14ac:dyDescent="0.2">
      <c r="E3421" s="9"/>
    </row>
    <row r="3422" spans="5:5" x14ac:dyDescent="0.2">
      <c r="E3422" s="9"/>
    </row>
    <row r="3423" spans="5:5" x14ac:dyDescent="0.2">
      <c r="E3423" s="9"/>
    </row>
    <row r="3424" spans="5:5" x14ac:dyDescent="0.2">
      <c r="E3424" s="9"/>
    </row>
    <row r="3425" spans="5:5" x14ac:dyDescent="0.2">
      <c r="E3425" s="9"/>
    </row>
    <row r="3426" spans="5:5" x14ac:dyDescent="0.2">
      <c r="E3426" s="9"/>
    </row>
    <row r="3427" spans="5:5" x14ac:dyDescent="0.2">
      <c r="E3427" s="9"/>
    </row>
    <row r="3428" spans="5:5" x14ac:dyDescent="0.2">
      <c r="E3428" s="9"/>
    </row>
    <row r="3429" spans="5:5" x14ac:dyDescent="0.2">
      <c r="E3429" s="9"/>
    </row>
    <row r="3430" spans="5:5" x14ac:dyDescent="0.2">
      <c r="E3430" s="9"/>
    </row>
    <row r="3431" spans="5:5" x14ac:dyDescent="0.2">
      <c r="E3431" s="9"/>
    </row>
    <row r="3432" spans="5:5" x14ac:dyDescent="0.2">
      <c r="E3432" s="9"/>
    </row>
    <row r="3433" spans="5:5" x14ac:dyDescent="0.2">
      <c r="E3433" s="9"/>
    </row>
    <row r="3434" spans="5:5" x14ac:dyDescent="0.2">
      <c r="E3434" s="9"/>
    </row>
    <row r="3435" spans="5:5" x14ac:dyDescent="0.2">
      <c r="E3435" s="9"/>
    </row>
    <row r="3436" spans="5:5" x14ac:dyDescent="0.2">
      <c r="E3436" s="9"/>
    </row>
    <row r="3437" spans="5:5" x14ac:dyDescent="0.2">
      <c r="E3437" s="9"/>
    </row>
    <row r="3438" spans="5:5" x14ac:dyDescent="0.2">
      <c r="E3438" s="9"/>
    </row>
    <row r="3439" spans="5:5" x14ac:dyDescent="0.2">
      <c r="E3439" s="9"/>
    </row>
    <row r="3440" spans="5:5" x14ac:dyDescent="0.2">
      <c r="E3440" s="9"/>
    </row>
    <row r="3441" spans="5:5" x14ac:dyDescent="0.2">
      <c r="E3441" s="9"/>
    </row>
    <row r="3442" spans="5:5" x14ac:dyDescent="0.2">
      <c r="E3442" s="9"/>
    </row>
    <row r="3443" spans="5:5" x14ac:dyDescent="0.2">
      <c r="E3443" s="9"/>
    </row>
    <row r="3444" spans="5:5" x14ac:dyDescent="0.2">
      <c r="E3444" s="9"/>
    </row>
    <row r="3445" spans="5:5" x14ac:dyDescent="0.2">
      <c r="E3445" s="9"/>
    </row>
    <row r="3446" spans="5:5" x14ac:dyDescent="0.2">
      <c r="E3446" s="9"/>
    </row>
    <row r="3447" spans="5:5" x14ac:dyDescent="0.2">
      <c r="E3447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zoomScale="160" zoomScaleNormal="160" workbookViewId="0"/>
  </sheetViews>
  <sheetFormatPr defaultRowHeight="12.75" x14ac:dyDescent="0.2"/>
  <cols>
    <col min="1" max="1" width="9.42578125" bestFit="1" customWidth="1"/>
    <col min="2" max="2" width="19" bestFit="1" customWidth="1"/>
    <col min="4" max="4" width="11.42578125" bestFit="1" customWidth="1"/>
    <col min="5" max="5" width="10" bestFit="1" customWidth="1"/>
  </cols>
  <sheetData>
    <row r="1" spans="1:5" x14ac:dyDescent="0.2">
      <c r="A1" s="37" t="s">
        <v>0</v>
      </c>
      <c r="B1" s="37" t="s">
        <v>190</v>
      </c>
      <c r="C1" s="37" t="s">
        <v>1132</v>
      </c>
      <c r="D1" s="37" t="s">
        <v>174</v>
      </c>
      <c r="E1" s="36" t="s">
        <v>1133</v>
      </c>
    </row>
    <row r="2" spans="1:5" x14ac:dyDescent="0.2">
      <c r="A2" s="40">
        <v>43731</v>
      </c>
      <c r="B2" t="str">
        <f>TEXT(WEEKDAY(A2,1),"dddd")</f>
        <v>Monday</v>
      </c>
      <c r="C2">
        <v>3</v>
      </c>
      <c r="D2" t="s">
        <v>214</v>
      </c>
      <c r="E2" s="38">
        <v>0.6</v>
      </c>
    </row>
    <row r="3" spans="1:5" x14ac:dyDescent="0.2">
      <c r="A3" s="39">
        <f>+A2+1</f>
        <v>43732</v>
      </c>
      <c r="B3" t="str">
        <f t="shared" ref="B3:B8" si="0">TEXT(WEEKDAY(A3,1),"dddd")</f>
        <v>Tuesday</v>
      </c>
      <c r="C3">
        <v>8</v>
      </c>
      <c r="D3" t="s">
        <v>214</v>
      </c>
      <c r="E3" s="38">
        <v>0.6</v>
      </c>
    </row>
    <row r="4" spans="1:5" x14ac:dyDescent="0.2">
      <c r="A4" s="39">
        <f t="shared" ref="A4:A8" si="1">+A3+1</f>
        <v>43733</v>
      </c>
      <c r="B4" t="str">
        <f t="shared" si="0"/>
        <v>Wednesday</v>
      </c>
      <c r="C4">
        <v>4</v>
      </c>
      <c r="D4" t="s">
        <v>214</v>
      </c>
      <c r="E4" s="38">
        <v>0.6</v>
      </c>
    </row>
    <row r="5" spans="1:5" x14ac:dyDescent="0.2">
      <c r="A5" s="39">
        <f t="shared" si="1"/>
        <v>43734</v>
      </c>
      <c r="B5" t="str">
        <f t="shared" si="0"/>
        <v>Thursday</v>
      </c>
      <c r="C5">
        <v>8</v>
      </c>
      <c r="D5" t="s">
        <v>214</v>
      </c>
      <c r="E5" s="38">
        <v>0.75</v>
      </c>
    </row>
    <row r="6" spans="1:5" x14ac:dyDescent="0.2">
      <c r="A6" s="39">
        <f t="shared" si="1"/>
        <v>43735</v>
      </c>
      <c r="B6" t="str">
        <f t="shared" si="0"/>
        <v>Friday</v>
      </c>
      <c r="C6">
        <v>3</v>
      </c>
      <c r="D6" t="s">
        <v>214</v>
      </c>
      <c r="E6" s="38">
        <v>0.6</v>
      </c>
    </row>
    <row r="7" spans="1:5" x14ac:dyDescent="0.2">
      <c r="A7" s="39">
        <f t="shared" si="1"/>
        <v>43736</v>
      </c>
      <c r="B7" t="str">
        <f t="shared" si="0"/>
        <v>Saturday</v>
      </c>
      <c r="C7" s="12">
        <v>12</v>
      </c>
      <c r="D7" t="s">
        <v>158</v>
      </c>
      <c r="E7" s="38">
        <v>0.6</v>
      </c>
    </row>
    <row r="8" spans="1:5" x14ac:dyDescent="0.2">
      <c r="A8" s="39">
        <f t="shared" si="1"/>
        <v>43737</v>
      </c>
      <c r="B8" t="str">
        <f t="shared" si="0"/>
        <v>Sunday</v>
      </c>
    </row>
    <row r="10" spans="1:5" x14ac:dyDescent="0.2">
      <c r="B10" t="s">
        <v>3</v>
      </c>
      <c r="C10">
        <f>SUM(C2:C8)</f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24" sqref="A24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4" t="s">
        <v>1</v>
      </c>
      <c r="B1" s="14" t="s">
        <v>228</v>
      </c>
      <c r="C1" s="32" t="s">
        <v>234</v>
      </c>
      <c r="D1" s="32" t="s">
        <v>236</v>
      </c>
      <c r="E1" s="14" t="s">
        <v>230</v>
      </c>
      <c r="F1" s="14" t="s">
        <v>239</v>
      </c>
      <c r="G1" s="32" t="s">
        <v>233</v>
      </c>
      <c r="H1" s="32" t="s">
        <v>232</v>
      </c>
    </row>
    <row r="2" spans="1:8" x14ac:dyDescent="0.2">
      <c r="A2" s="33" t="s">
        <v>227</v>
      </c>
      <c r="B2" s="33" t="s">
        <v>229</v>
      </c>
      <c r="C2" s="33" t="s">
        <v>235</v>
      </c>
      <c r="D2" s="33">
        <v>7.7</v>
      </c>
      <c r="E2" s="33" t="s">
        <v>231</v>
      </c>
      <c r="F2" s="33">
        <v>4</v>
      </c>
      <c r="G2" s="33">
        <v>10.5</v>
      </c>
      <c r="H2" s="33" t="s">
        <v>251</v>
      </c>
    </row>
    <row r="3" spans="1:8" x14ac:dyDescent="0.2">
      <c r="A3" s="33" t="s">
        <v>237</v>
      </c>
      <c r="B3" s="33" t="s">
        <v>229</v>
      </c>
      <c r="C3" s="33" t="s">
        <v>170</v>
      </c>
      <c r="D3" s="33">
        <v>9.3000000000000007</v>
      </c>
      <c r="E3" s="33" t="s">
        <v>238</v>
      </c>
      <c r="F3" s="33">
        <v>8</v>
      </c>
      <c r="G3" s="33">
        <v>10.5</v>
      </c>
      <c r="H3" s="33" t="s">
        <v>251</v>
      </c>
    </row>
    <row r="4" spans="1:8" x14ac:dyDescent="0.2">
      <c r="A4" s="33" t="s">
        <v>169</v>
      </c>
      <c r="B4" s="33" t="s">
        <v>229</v>
      </c>
      <c r="C4" s="33" t="s">
        <v>235</v>
      </c>
      <c r="D4" s="33">
        <v>8.1</v>
      </c>
      <c r="E4" s="33" t="s">
        <v>231</v>
      </c>
      <c r="F4" s="33">
        <v>9</v>
      </c>
      <c r="G4" s="33">
        <v>10.5</v>
      </c>
      <c r="H4" s="33" t="s">
        <v>251</v>
      </c>
    </row>
    <row r="5" spans="1:8" x14ac:dyDescent="0.2">
      <c r="A5" s="33" t="s">
        <v>267</v>
      </c>
      <c r="B5" s="33" t="s">
        <v>229</v>
      </c>
      <c r="C5" s="33" t="s">
        <v>235</v>
      </c>
      <c r="D5" s="33">
        <v>8.8000000000000007</v>
      </c>
      <c r="E5" s="33" t="s">
        <v>231</v>
      </c>
      <c r="F5" s="33">
        <v>10</v>
      </c>
      <c r="G5" s="33">
        <v>11</v>
      </c>
      <c r="H5" s="33" t="s">
        <v>276</v>
      </c>
    </row>
    <row r="6" spans="1:8" x14ac:dyDescent="0.2">
      <c r="A6" s="33" t="s">
        <v>262</v>
      </c>
      <c r="B6" s="33" t="s">
        <v>229</v>
      </c>
      <c r="C6" s="33" t="s">
        <v>235</v>
      </c>
      <c r="D6" s="33">
        <v>8.6999999999999993</v>
      </c>
      <c r="E6" s="33" t="s">
        <v>238</v>
      </c>
      <c r="F6" s="33">
        <v>8</v>
      </c>
      <c r="G6" s="33">
        <v>10.5</v>
      </c>
      <c r="H6" s="33" t="s">
        <v>251</v>
      </c>
    </row>
    <row r="7" spans="1:8" x14ac:dyDescent="0.2">
      <c r="A7" s="33" t="s">
        <v>240</v>
      </c>
      <c r="B7" s="33" t="s">
        <v>229</v>
      </c>
      <c r="C7" s="33" t="s">
        <v>235</v>
      </c>
      <c r="D7" s="33">
        <v>8.5</v>
      </c>
      <c r="E7" s="33" t="s">
        <v>238</v>
      </c>
      <c r="F7" s="33">
        <v>6</v>
      </c>
      <c r="G7" s="33">
        <v>11</v>
      </c>
      <c r="H7" s="33" t="s">
        <v>276</v>
      </c>
    </row>
    <row r="8" spans="1:8" x14ac:dyDescent="0.2">
      <c r="A8" s="33" t="s">
        <v>226</v>
      </c>
      <c r="B8" s="33" t="s">
        <v>229</v>
      </c>
      <c r="C8" s="33" t="s">
        <v>235</v>
      </c>
      <c r="D8" s="33">
        <v>7.6</v>
      </c>
      <c r="E8" s="33" t="s">
        <v>231</v>
      </c>
      <c r="F8" s="33">
        <v>9</v>
      </c>
      <c r="G8" s="33">
        <v>11</v>
      </c>
      <c r="H8" s="33" t="s">
        <v>276</v>
      </c>
    </row>
    <row r="9" spans="1:8" x14ac:dyDescent="0.2">
      <c r="A9" s="33" t="s">
        <v>252</v>
      </c>
      <c r="B9" s="33" t="s">
        <v>229</v>
      </c>
      <c r="C9" s="33" t="s">
        <v>235</v>
      </c>
      <c r="D9" s="33">
        <v>7.1</v>
      </c>
      <c r="E9" s="33" t="s">
        <v>238</v>
      </c>
      <c r="F9" s="33">
        <v>4</v>
      </c>
      <c r="G9" s="33">
        <v>10.5</v>
      </c>
      <c r="H9" s="33" t="s">
        <v>251</v>
      </c>
    </row>
    <row r="10" spans="1:8" x14ac:dyDescent="0.2">
      <c r="A10" s="33" t="s">
        <v>311</v>
      </c>
      <c r="B10" s="33" t="s">
        <v>229</v>
      </c>
      <c r="C10" s="33" t="s">
        <v>235</v>
      </c>
      <c r="D10" s="33">
        <v>8</v>
      </c>
      <c r="E10" s="33" t="s">
        <v>238</v>
      </c>
      <c r="F10" s="33">
        <v>7.9</v>
      </c>
      <c r="G10" s="33">
        <v>11</v>
      </c>
      <c r="H10" s="33" t="s">
        <v>251</v>
      </c>
    </row>
    <row r="11" spans="1:8" x14ac:dyDescent="0.2">
      <c r="A11" s="33" t="s">
        <v>315</v>
      </c>
      <c r="B11" s="33" t="s">
        <v>229</v>
      </c>
      <c r="C11" s="33" t="s">
        <v>235</v>
      </c>
      <c r="D11" s="33">
        <v>9</v>
      </c>
      <c r="E11" s="33" t="s">
        <v>238</v>
      </c>
      <c r="F11" s="33">
        <v>4</v>
      </c>
      <c r="G11" s="33">
        <v>11</v>
      </c>
      <c r="H11" s="33" t="s">
        <v>251</v>
      </c>
    </row>
    <row r="12" spans="1:8" x14ac:dyDescent="0.2">
      <c r="A12" s="33" t="s">
        <v>169</v>
      </c>
      <c r="B12" s="33" t="s">
        <v>229</v>
      </c>
      <c r="C12" s="33" t="s">
        <v>235</v>
      </c>
      <c r="D12" s="33">
        <v>8.1</v>
      </c>
      <c r="E12" s="33" t="s">
        <v>231</v>
      </c>
      <c r="F12" s="33">
        <v>10</v>
      </c>
      <c r="G12" s="33">
        <v>11</v>
      </c>
      <c r="H12" s="33" t="s">
        <v>276</v>
      </c>
    </row>
    <row r="13" spans="1:8" x14ac:dyDescent="0.2">
      <c r="A13" s="33" t="s">
        <v>1089</v>
      </c>
      <c r="B13" s="33" t="s">
        <v>229</v>
      </c>
      <c r="C13" s="33" t="s">
        <v>235</v>
      </c>
      <c r="D13" s="33">
        <v>7</v>
      </c>
      <c r="E13" s="33" t="s">
        <v>238</v>
      </c>
      <c r="F13" s="33">
        <v>6</v>
      </c>
      <c r="G13" s="33">
        <v>11</v>
      </c>
      <c r="H13" s="33" t="s">
        <v>251</v>
      </c>
    </row>
    <row r="14" spans="1:8" x14ac:dyDescent="0.2">
      <c r="A14" s="33" t="s">
        <v>1091</v>
      </c>
      <c r="B14" s="33" t="s">
        <v>229</v>
      </c>
      <c r="C14" s="33" t="s">
        <v>235</v>
      </c>
      <c r="D14" s="33">
        <v>9</v>
      </c>
      <c r="E14" s="33" t="s">
        <v>231</v>
      </c>
      <c r="F14" s="33">
        <v>10</v>
      </c>
      <c r="G14" s="33">
        <v>11</v>
      </c>
      <c r="H14" s="33" t="s">
        <v>276</v>
      </c>
    </row>
    <row r="15" spans="1:8" x14ac:dyDescent="0.2">
      <c r="A15" s="33" t="s">
        <v>1101</v>
      </c>
      <c r="B15" s="33" t="s">
        <v>229</v>
      </c>
      <c r="C15" s="33" t="s">
        <v>235</v>
      </c>
      <c r="D15" s="33">
        <v>8.9</v>
      </c>
      <c r="E15" s="33" t="s">
        <v>238</v>
      </c>
      <c r="F15" s="33">
        <v>4</v>
      </c>
      <c r="G15" s="33">
        <v>11</v>
      </c>
      <c r="H15" s="33" t="s">
        <v>276</v>
      </c>
    </row>
    <row r="16" spans="1:8" x14ac:dyDescent="0.2">
      <c r="A16" s="33" t="s">
        <v>1106</v>
      </c>
      <c r="B16" s="33" t="s">
        <v>229</v>
      </c>
      <c r="C16" s="33" t="s">
        <v>235</v>
      </c>
      <c r="D16" s="33">
        <v>7.5</v>
      </c>
      <c r="E16" s="33" t="s">
        <v>231</v>
      </c>
      <c r="F16" s="33">
        <v>4</v>
      </c>
      <c r="G16" s="33">
        <v>11</v>
      </c>
      <c r="H16" s="33" t="s">
        <v>251</v>
      </c>
    </row>
    <row r="17" spans="1:8" x14ac:dyDescent="0.2">
      <c r="A17" s="33" t="s">
        <v>1110</v>
      </c>
      <c r="B17" s="33" t="s">
        <v>229</v>
      </c>
      <c r="C17" s="33" t="s">
        <v>235</v>
      </c>
      <c r="D17" s="33">
        <v>8.8000000000000007</v>
      </c>
      <c r="E17" s="33" t="s">
        <v>231</v>
      </c>
      <c r="F17" s="33">
        <v>10</v>
      </c>
      <c r="G17" s="33">
        <v>11</v>
      </c>
      <c r="H17" s="33" t="s">
        <v>276</v>
      </c>
    </row>
    <row r="18" spans="1:8" x14ac:dyDescent="0.2">
      <c r="A18" s="33" t="s">
        <v>1116</v>
      </c>
      <c r="B18" s="33" t="s">
        <v>229</v>
      </c>
      <c r="C18" s="33" t="s">
        <v>235</v>
      </c>
      <c r="D18" s="33">
        <v>7.7</v>
      </c>
      <c r="E18" s="33" t="s">
        <v>238</v>
      </c>
      <c r="F18" s="33">
        <v>8</v>
      </c>
      <c r="G18" s="33">
        <v>11</v>
      </c>
      <c r="H18" s="33" t="s">
        <v>251</v>
      </c>
    </row>
    <row r="19" spans="1:8" x14ac:dyDescent="0.2">
      <c r="A19" s="33" t="s">
        <v>1119</v>
      </c>
      <c r="B19" s="33" t="s">
        <v>229</v>
      </c>
      <c r="C19" s="33" t="s">
        <v>235</v>
      </c>
      <c r="D19" s="33">
        <v>7.9</v>
      </c>
      <c r="E19" s="33" t="s">
        <v>231</v>
      </c>
      <c r="F19" s="33">
        <v>10</v>
      </c>
      <c r="G19" s="33">
        <v>11</v>
      </c>
      <c r="H19" s="33" t="s">
        <v>276</v>
      </c>
    </row>
    <row r="20" spans="1:8" x14ac:dyDescent="0.2">
      <c r="A20" s="33" t="s">
        <v>1121</v>
      </c>
      <c r="B20" s="33" t="s">
        <v>229</v>
      </c>
      <c r="C20" s="33" t="s">
        <v>1131</v>
      </c>
      <c r="D20" s="33">
        <v>10.1</v>
      </c>
      <c r="E20" s="33" t="s">
        <v>238</v>
      </c>
      <c r="F20" s="33">
        <v>6</v>
      </c>
      <c r="G20" s="33">
        <v>11</v>
      </c>
      <c r="H20" s="33" t="s">
        <v>276</v>
      </c>
    </row>
    <row r="21" spans="1:8" x14ac:dyDescent="0.2">
      <c r="A21" s="33" t="s">
        <v>1130</v>
      </c>
      <c r="B21" s="33" t="s">
        <v>229</v>
      </c>
      <c r="C21" s="33" t="s">
        <v>235</v>
      </c>
      <c r="D21" s="33">
        <v>8.8000000000000007</v>
      </c>
      <c r="E21" s="33" t="s">
        <v>238</v>
      </c>
      <c r="F21" s="33">
        <v>8</v>
      </c>
      <c r="G21" s="33">
        <v>11</v>
      </c>
      <c r="H21" s="33" t="s">
        <v>251</v>
      </c>
    </row>
    <row r="22" spans="1:8" x14ac:dyDescent="0.2">
      <c r="A22" s="33" t="s">
        <v>1137</v>
      </c>
      <c r="B22" s="33" t="s">
        <v>229</v>
      </c>
      <c r="C22" s="33" t="s">
        <v>235</v>
      </c>
      <c r="D22" s="33">
        <v>9</v>
      </c>
      <c r="E22" s="33" t="s">
        <v>231</v>
      </c>
      <c r="F22" s="33">
        <v>10</v>
      </c>
      <c r="G22" s="33">
        <v>11</v>
      </c>
      <c r="H22" s="33" t="s">
        <v>276</v>
      </c>
    </row>
    <row r="23" spans="1:8" x14ac:dyDescent="0.2">
      <c r="A23" s="33" t="s">
        <v>1138</v>
      </c>
      <c r="B23" s="33" t="s">
        <v>229</v>
      </c>
      <c r="C23" s="33" t="s">
        <v>235</v>
      </c>
      <c r="D23" s="33">
        <v>10.4</v>
      </c>
      <c r="E23" s="33" t="s">
        <v>238</v>
      </c>
      <c r="F23" s="33">
        <v>12</v>
      </c>
      <c r="G23" s="33">
        <v>11</v>
      </c>
      <c r="H23" s="33" t="s">
        <v>276</v>
      </c>
    </row>
    <row r="24" spans="1:8" x14ac:dyDescent="0.2">
      <c r="A24" s="33"/>
      <c r="B24" s="33"/>
      <c r="C24" s="33"/>
      <c r="D24" s="33"/>
      <c r="E24" s="33"/>
      <c r="F24" s="33"/>
      <c r="G24" s="33"/>
      <c r="H24" s="33"/>
    </row>
    <row r="25" spans="1:8" x14ac:dyDescent="0.2">
      <c r="A25" s="33"/>
      <c r="B25" s="33"/>
      <c r="C25" s="33"/>
      <c r="D25" s="33"/>
      <c r="E25" s="33"/>
      <c r="F25" s="33"/>
      <c r="G25" s="33"/>
      <c r="H25" s="33"/>
    </row>
    <row r="26" spans="1:8" x14ac:dyDescent="0.2">
      <c r="A26" s="33"/>
      <c r="B26" s="33"/>
      <c r="C26" s="33"/>
      <c r="D26" s="33"/>
      <c r="E26" s="33"/>
      <c r="F26" s="33"/>
      <c r="G26" s="33"/>
      <c r="H26" s="33"/>
    </row>
    <row r="27" spans="1:8" x14ac:dyDescent="0.2">
      <c r="A27" s="33"/>
      <c r="B27" s="33"/>
      <c r="C27" s="33"/>
      <c r="D27" s="33"/>
      <c r="E27" s="33"/>
      <c r="F27" s="33"/>
      <c r="G27" s="33"/>
      <c r="H27" s="33"/>
    </row>
    <row r="28" spans="1:8" x14ac:dyDescent="0.2">
      <c r="A28" s="33"/>
      <c r="B28" s="33"/>
      <c r="C28" s="33"/>
      <c r="D28" s="33"/>
      <c r="E28" s="33"/>
      <c r="F28" s="33"/>
      <c r="G28" s="33"/>
      <c r="H28" s="33"/>
    </row>
    <row r="29" spans="1:8" x14ac:dyDescent="0.2">
      <c r="A29" s="33"/>
      <c r="B29" s="33"/>
      <c r="C29" s="33"/>
      <c r="D29" s="33"/>
      <c r="E29" s="33"/>
      <c r="F29" s="33"/>
      <c r="G29" s="33"/>
      <c r="H29" s="33"/>
    </row>
    <row r="30" spans="1:8" x14ac:dyDescent="0.2">
      <c r="A30" s="33"/>
      <c r="B30" s="33"/>
      <c r="C30" s="33"/>
      <c r="D30" s="33"/>
      <c r="E30" s="33"/>
      <c r="F30" s="33"/>
      <c r="G30" s="33"/>
      <c r="H30" s="33"/>
    </row>
    <row r="31" spans="1:8" x14ac:dyDescent="0.2">
      <c r="A31" s="33"/>
      <c r="B31" s="33"/>
      <c r="C31" s="33"/>
      <c r="D31" s="33"/>
      <c r="E31" s="33"/>
      <c r="F31" s="33"/>
      <c r="G31" s="33"/>
      <c r="H31" s="33"/>
    </row>
    <row r="32" spans="1:8" x14ac:dyDescent="0.2">
      <c r="A32" s="33"/>
      <c r="B32" s="33"/>
      <c r="C32" s="33"/>
      <c r="D32" s="33"/>
      <c r="E32" s="33"/>
      <c r="F32" s="33"/>
      <c r="G32" s="33"/>
      <c r="H32" s="33"/>
    </row>
    <row r="33" spans="1:8" x14ac:dyDescent="0.2">
      <c r="A33" s="33"/>
      <c r="B33" s="33"/>
      <c r="C33" s="33"/>
      <c r="D33" s="33"/>
      <c r="E33" s="33"/>
      <c r="F33" s="33"/>
      <c r="G33" s="33"/>
      <c r="H33" s="33"/>
    </row>
    <row r="34" spans="1:8" x14ac:dyDescent="0.2">
      <c r="A34" s="33"/>
      <c r="B34" s="33"/>
      <c r="C34" s="33"/>
      <c r="D34" s="33"/>
      <c r="E34" s="33"/>
      <c r="F34" s="33"/>
      <c r="G34" s="33"/>
      <c r="H34" s="33"/>
    </row>
    <row r="35" spans="1:8" x14ac:dyDescent="0.2">
      <c r="A35" s="33"/>
      <c r="B35" s="33"/>
      <c r="C35" s="33"/>
      <c r="D35" s="33"/>
      <c r="E35" s="33"/>
      <c r="F35" s="33"/>
      <c r="G35" s="33"/>
      <c r="H35" s="33"/>
    </row>
    <row r="36" spans="1:8" x14ac:dyDescent="0.2">
      <c r="A36" s="33"/>
      <c r="B36" s="33"/>
      <c r="C36" s="33"/>
      <c r="D36" s="33"/>
      <c r="E36" s="33"/>
      <c r="F36" s="33"/>
      <c r="G36" s="33"/>
      <c r="H36" s="33"/>
    </row>
    <row r="37" spans="1:8" x14ac:dyDescent="0.2">
      <c r="A37" s="33"/>
      <c r="B37" s="33"/>
      <c r="C37" s="33"/>
      <c r="D37" s="33"/>
      <c r="E37" s="33"/>
      <c r="F37" s="33"/>
      <c r="G37" s="33"/>
      <c r="H37" s="33"/>
    </row>
    <row r="38" spans="1:8" x14ac:dyDescent="0.2">
      <c r="A38" s="33"/>
      <c r="B38" s="33"/>
      <c r="C38" s="33"/>
      <c r="D38" s="33"/>
      <c r="E38" s="33"/>
      <c r="F38" s="33"/>
      <c r="G38" s="33"/>
      <c r="H38" s="33"/>
    </row>
    <row r="39" spans="1:8" x14ac:dyDescent="0.2">
      <c r="A39" s="33"/>
      <c r="B39" s="33"/>
      <c r="C39" s="33"/>
      <c r="D39" s="33"/>
      <c r="E39" s="33"/>
      <c r="F39" s="33"/>
      <c r="G39" s="33"/>
      <c r="H39" s="33"/>
    </row>
    <row r="40" spans="1:8" x14ac:dyDescent="0.2">
      <c r="A40" s="33"/>
      <c r="B40" s="33"/>
      <c r="C40" s="33"/>
      <c r="D40" s="33"/>
      <c r="E40" s="33"/>
      <c r="F40" s="33"/>
      <c r="G40" s="33"/>
      <c r="H40" s="33"/>
    </row>
    <row r="41" spans="1:8" x14ac:dyDescent="0.2">
      <c r="A41" s="33"/>
      <c r="B41" s="33"/>
      <c r="C41" s="33"/>
      <c r="D41" s="33"/>
      <c r="E41" s="33"/>
      <c r="F41" s="33"/>
      <c r="G41" s="33"/>
      <c r="H41" s="33"/>
    </row>
    <row r="42" spans="1:8" x14ac:dyDescent="0.2">
      <c r="A42" s="33"/>
      <c r="B42" s="33"/>
      <c r="C42" s="33"/>
      <c r="D42" s="33"/>
      <c r="E42" s="33"/>
      <c r="F42" s="33"/>
      <c r="G42" s="33"/>
      <c r="H42" s="33"/>
    </row>
    <row r="43" spans="1:8" x14ac:dyDescent="0.2">
      <c r="A43" s="33"/>
      <c r="B43" s="33"/>
      <c r="C43" s="33"/>
      <c r="D43" s="33"/>
      <c r="E43" s="33"/>
      <c r="F43" s="33"/>
      <c r="G43" s="33"/>
      <c r="H43" s="33"/>
    </row>
    <row r="44" spans="1:8" x14ac:dyDescent="0.2">
      <c r="A44" s="33"/>
      <c r="B44" s="33"/>
      <c r="C44" s="33"/>
      <c r="D44" s="33"/>
      <c r="E44" s="33"/>
      <c r="F44" s="33"/>
      <c r="G44" s="33"/>
      <c r="H44" s="33"/>
    </row>
    <row r="45" spans="1:8" x14ac:dyDescent="0.2">
      <c r="A45" s="33"/>
      <c r="B45" s="33"/>
      <c r="C45" s="33"/>
      <c r="D45" s="33"/>
      <c r="E45" s="33"/>
      <c r="F45" s="33"/>
      <c r="G45" s="33"/>
      <c r="H45" s="33"/>
    </row>
    <row r="46" spans="1:8" x14ac:dyDescent="0.2">
      <c r="A46" s="33"/>
      <c r="B46" s="33"/>
      <c r="C46" s="33"/>
      <c r="D46" s="33"/>
      <c r="E46" s="33"/>
      <c r="F46" s="33"/>
      <c r="G46" s="33"/>
      <c r="H46" s="33"/>
    </row>
    <row r="47" spans="1:8" x14ac:dyDescent="0.2">
      <c r="A47" s="33"/>
      <c r="B47" s="33"/>
      <c r="C47" s="33"/>
      <c r="D47" s="33"/>
      <c r="E47" s="33"/>
      <c r="F47" s="33"/>
      <c r="G47" s="33"/>
      <c r="H47" s="33"/>
    </row>
    <row r="48" spans="1:8" x14ac:dyDescent="0.2">
      <c r="A48" s="33"/>
      <c r="B48" s="33"/>
      <c r="C48" s="33"/>
      <c r="D48" s="33"/>
      <c r="E48" s="33"/>
      <c r="F48" s="33"/>
      <c r="G48" s="33"/>
      <c r="H48" s="33"/>
    </row>
    <row r="49" spans="1:8" x14ac:dyDescent="0.2">
      <c r="A49" s="33"/>
      <c r="B49" s="33"/>
      <c r="C49" s="33"/>
      <c r="D49" s="33"/>
      <c r="E49" s="33"/>
      <c r="F49" s="33"/>
      <c r="G49" s="33"/>
      <c r="H49" s="33"/>
    </row>
    <row r="50" spans="1:8" x14ac:dyDescent="0.2">
      <c r="A50" s="33"/>
      <c r="B50" s="33"/>
      <c r="C50" s="33"/>
      <c r="D50" s="33"/>
      <c r="E50" s="33"/>
      <c r="F50" s="33"/>
      <c r="G50" s="33"/>
      <c r="H50" s="33"/>
    </row>
    <row r="51" spans="1:8" x14ac:dyDescent="0.2">
      <c r="A51" s="33"/>
      <c r="B51" s="33"/>
      <c r="C51" s="33"/>
      <c r="D51" s="33"/>
      <c r="E51" s="33"/>
      <c r="F51" s="33"/>
      <c r="G51" s="33"/>
      <c r="H51" s="33"/>
    </row>
    <row r="52" spans="1:8" x14ac:dyDescent="0.2">
      <c r="A52" s="33"/>
      <c r="B52" s="33"/>
      <c r="C52" s="33"/>
      <c r="D52" s="33"/>
      <c r="E52" s="33"/>
      <c r="F52" s="33"/>
      <c r="G52" s="33"/>
      <c r="H52" s="33"/>
    </row>
    <row r="53" spans="1:8" x14ac:dyDescent="0.2">
      <c r="A53" s="33"/>
      <c r="B53" s="33"/>
      <c r="C53" s="33"/>
      <c r="D53" s="33"/>
      <c r="E53" s="33"/>
      <c r="F53" s="33"/>
      <c r="G53" s="33"/>
      <c r="H53" s="33"/>
    </row>
    <row r="54" spans="1:8" x14ac:dyDescent="0.2">
      <c r="A54" s="33"/>
      <c r="B54" s="33"/>
      <c r="C54" s="33"/>
      <c r="D54" s="33"/>
      <c r="E54" s="33"/>
      <c r="F54" s="33"/>
      <c r="G54" s="33"/>
      <c r="H54" s="33"/>
    </row>
    <row r="55" spans="1:8" x14ac:dyDescent="0.2">
      <c r="A55" s="33"/>
      <c r="B55" s="33"/>
      <c r="C55" s="33"/>
      <c r="D55" s="33"/>
      <c r="E55" s="33"/>
      <c r="F55" s="33"/>
      <c r="G55" s="33"/>
      <c r="H55" s="33"/>
    </row>
    <row r="56" spans="1:8" x14ac:dyDescent="0.2">
      <c r="A56" s="33"/>
      <c r="B56" s="33"/>
      <c r="C56" s="33"/>
      <c r="D56" s="33"/>
      <c r="E56" s="33"/>
      <c r="F56" s="33"/>
      <c r="G56" s="33"/>
      <c r="H56" s="33"/>
    </row>
    <row r="57" spans="1:8" x14ac:dyDescent="0.2">
      <c r="A57" s="33"/>
      <c r="B57" s="33"/>
      <c r="C57" s="33"/>
      <c r="D57" s="33"/>
      <c r="E57" s="33"/>
      <c r="F57" s="33"/>
      <c r="G57" s="33"/>
      <c r="H57" s="33"/>
    </row>
    <row r="58" spans="1:8" x14ac:dyDescent="0.2">
      <c r="A58" s="33"/>
      <c r="B58" s="33"/>
      <c r="C58" s="33"/>
      <c r="D58" s="33"/>
      <c r="E58" s="33"/>
      <c r="F58" s="33"/>
      <c r="G58" s="33"/>
      <c r="H58" s="33"/>
    </row>
    <row r="59" spans="1:8" x14ac:dyDescent="0.2">
      <c r="A59" s="33"/>
      <c r="B59" s="33"/>
      <c r="C59" s="33"/>
      <c r="D59" s="33"/>
      <c r="E59" s="33"/>
      <c r="F59" s="33"/>
      <c r="G59" s="33"/>
      <c r="H59" s="33"/>
    </row>
    <row r="60" spans="1:8" x14ac:dyDescent="0.2">
      <c r="A60" s="33"/>
      <c r="B60" s="33"/>
      <c r="C60" s="33"/>
      <c r="D60" s="33"/>
      <c r="E60" s="33"/>
      <c r="F60" s="33"/>
      <c r="G60" s="33"/>
      <c r="H60" s="33"/>
    </row>
    <row r="61" spans="1:8" x14ac:dyDescent="0.2">
      <c r="A61" s="33"/>
      <c r="B61" s="33"/>
      <c r="C61" s="33"/>
      <c r="D61" s="33"/>
      <c r="E61" s="33"/>
      <c r="F61" s="33"/>
      <c r="G61" s="33"/>
      <c r="H61" s="33"/>
    </row>
    <row r="62" spans="1:8" x14ac:dyDescent="0.2">
      <c r="A62" s="33"/>
      <c r="B62" s="33"/>
      <c r="C62" s="33"/>
      <c r="D62" s="33"/>
      <c r="E62" s="33"/>
      <c r="F62" s="33"/>
      <c r="G62" s="33"/>
      <c r="H62" s="33"/>
    </row>
    <row r="63" spans="1:8" x14ac:dyDescent="0.2">
      <c r="A63" s="33"/>
      <c r="B63" s="33"/>
      <c r="C63" s="33"/>
      <c r="D63" s="33"/>
      <c r="E63" s="33"/>
      <c r="F63" s="33"/>
      <c r="G63" s="33"/>
      <c r="H63" s="33"/>
    </row>
    <row r="64" spans="1:8" x14ac:dyDescent="0.2">
      <c r="A64" s="33"/>
      <c r="B64" s="33"/>
      <c r="C64" s="33"/>
      <c r="D64" s="33"/>
      <c r="E64" s="33"/>
      <c r="F64" s="33"/>
      <c r="G64" s="33"/>
      <c r="H64" s="33"/>
    </row>
    <row r="65" spans="1:8" x14ac:dyDescent="0.2">
      <c r="A65" s="33"/>
      <c r="B65" s="33"/>
      <c r="C65" s="33"/>
      <c r="D65" s="33"/>
      <c r="E65" s="33"/>
      <c r="F65" s="33"/>
      <c r="G65" s="33"/>
      <c r="H65" s="33"/>
    </row>
    <row r="66" spans="1:8" x14ac:dyDescent="0.2">
      <c r="A66" s="33"/>
      <c r="B66" s="33"/>
      <c r="C66" s="33"/>
      <c r="D66" s="33"/>
      <c r="E66" s="33"/>
      <c r="F66" s="33"/>
      <c r="G66" s="33"/>
      <c r="H66" s="33"/>
    </row>
    <row r="67" spans="1:8" x14ac:dyDescent="0.2">
      <c r="A67" s="33"/>
      <c r="B67" s="33"/>
      <c r="C67" s="33"/>
      <c r="D67" s="33"/>
      <c r="E67" s="33"/>
      <c r="F67" s="33"/>
      <c r="G67" s="33"/>
      <c r="H67" s="33"/>
    </row>
    <row r="68" spans="1:8" x14ac:dyDescent="0.2">
      <c r="A68" s="33"/>
      <c r="B68" s="33"/>
      <c r="C68" s="33"/>
      <c r="D68" s="33"/>
      <c r="E68" s="33"/>
      <c r="F68" s="33"/>
      <c r="G68" s="33"/>
      <c r="H68" s="33"/>
    </row>
    <row r="69" spans="1:8" x14ac:dyDescent="0.2">
      <c r="A69" s="33"/>
      <c r="B69" s="33"/>
      <c r="C69" s="33"/>
      <c r="D69" s="33"/>
      <c r="E69" s="33"/>
      <c r="F69" s="33"/>
      <c r="G69" s="33"/>
      <c r="H69" s="33"/>
    </row>
    <row r="70" spans="1:8" x14ac:dyDescent="0.2">
      <c r="A70" s="33"/>
      <c r="B70" s="33"/>
      <c r="C70" s="33"/>
      <c r="D70" s="33"/>
      <c r="E70" s="33"/>
      <c r="F70" s="33"/>
      <c r="G70" s="33"/>
      <c r="H70" s="33"/>
    </row>
    <row r="71" spans="1:8" x14ac:dyDescent="0.2">
      <c r="A71" s="33"/>
      <c r="B71" s="33"/>
      <c r="C71" s="33"/>
      <c r="D71" s="33"/>
      <c r="E71" s="33"/>
      <c r="F71" s="33"/>
      <c r="G71" s="33"/>
      <c r="H71" s="33"/>
    </row>
    <row r="72" spans="1:8" x14ac:dyDescent="0.2">
      <c r="A72" s="33"/>
      <c r="B72" s="33"/>
      <c r="C72" s="33"/>
      <c r="D72" s="33"/>
      <c r="E72" s="33"/>
      <c r="F72" s="33"/>
      <c r="G72" s="33"/>
      <c r="H72" s="33"/>
    </row>
    <row r="73" spans="1:8" x14ac:dyDescent="0.2">
      <c r="A73" s="33"/>
      <c r="B73" s="33"/>
      <c r="C73" s="33"/>
      <c r="D73" s="33"/>
      <c r="E73" s="33"/>
      <c r="F73" s="33"/>
      <c r="G73" s="33"/>
      <c r="H73" s="33"/>
    </row>
    <row r="74" spans="1:8" x14ac:dyDescent="0.2">
      <c r="A74" s="33"/>
      <c r="B74" s="33"/>
      <c r="C74" s="33"/>
      <c r="D74" s="33"/>
      <c r="E74" s="33"/>
      <c r="F74" s="33"/>
      <c r="G74" s="33"/>
      <c r="H74" s="33"/>
    </row>
    <row r="75" spans="1:8" x14ac:dyDescent="0.2">
      <c r="A75" s="33"/>
      <c r="B75" s="33"/>
      <c r="C75" s="33"/>
      <c r="D75" s="33"/>
      <c r="E75" s="33"/>
      <c r="F75" s="33"/>
      <c r="G75" s="33"/>
      <c r="H75" s="33"/>
    </row>
    <row r="76" spans="1:8" x14ac:dyDescent="0.2">
      <c r="A76" s="33"/>
      <c r="B76" s="33"/>
      <c r="C76" s="33"/>
      <c r="D76" s="33"/>
      <c r="E76" s="33"/>
      <c r="F76" s="33"/>
      <c r="G76" s="33"/>
      <c r="H76" s="33"/>
    </row>
    <row r="77" spans="1:8" x14ac:dyDescent="0.2">
      <c r="A77" s="33"/>
      <c r="B77" s="33"/>
      <c r="C77" s="33"/>
      <c r="D77" s="33"/>
      <c r="E77" s="33"/>
      <c r="F77" s="33"/>
      <c r="G77" s="33"/>
      <c r="H77" s="33"/>
    </row>
    <row r="78" spans="1:8" x14ac:dyDescent="0.2">
      <c r="A78" s="33"/>
      <c r="B78" s="33"/>
      <c r="C78" s="33"/>
      <c r="D78" s="33"/>
      <c r="E78" s="33"/>
      <c r="F78" s="33"/>
      <c r="G78" s="33"/>
      <c r="H78" s="33"/>
    </row>
    <row r="79" spans="1:8" x14ac:dyDescent="0.2">
      <c r="A79" s="33"/>
      <c r="B79" s="33"/>
      <c r="C79" s="33"/>
      <c r="D79" s="33"/>
      <c r="E79" s="33"/>
      <c r="F79" s="33"/>
      <c r="G79" s="33"/>
      <c r="H79" s="33"/>
    </row>
    <row r="80" spans="1:8" x14ac:dyDescent="0.2">
      <c r="A80" s="33"/>
      <c r="B80" s="33"/>
      <c r="C80" s="33"/>
      <c r="D80" s="33"/>
      <c r="E80" s="33"/>
      <c r="F80" s="33"/>
      <c r="G80" s="33"/>
      <c r="H80" s="33"/>
    </row>
    <row r="81" spans="1:8" x14ac:dyDescent="0.2">
      <c r="A81" s="33"/>
      <c r="B81" s="33"/>
      <c r="C81" s="33"/>
      <c r="D81" s="33"/>
      <c r="E81" s="33"/>
      <c r="F81" s="33"/>
      <c r="G81" s="33"/>
      <c r="H81" s="33"/>
    </row>
    <row r="82" spans="1:8" x14ac:dyDescent="0.2">
      <c r="A82" s="33"/>
      <c r="B82" s="33"/>
      <c r="C82" s="33"/>
      <c r="D82" s="33"/>
      <c r="E82" s="33"/>
      <c r="F82" s="33"/>
      <c r="G82" s="33"/>
      <c r="H82" s="33"/>
    </row>
    <row r="83" spans="1:8" x14ac:dyDescent="0.2">
      <c r="A83" s="33"/>
      <c r="B83" s="33"/>
      <c r="C83" s="33"/>
      <c r="D83" s="33"/>
      <c r="E83" s="33"/>
      <c r="F83" s="33"/>
      <c r="G83" s="33"/>
      <c r="H83" s="33"/>
    </row>
    <row r="84" spans="1:8" x14ac:dyDescent="0.2">
      <c r="A84" s="33"/>
      <c r="B84" s="33"/>
      <c r="C84" s="33"/>
      <c r="D84" s="33"/>
      <c r="E84" s="33"/>
      <c r="F84" s="33"/>
      <c r="G84" s="33"/>
      <c r="H84" s="33"/>
    </row>
    <row r="85" spans="1:8" x14ac:dyDescent="0.2">
      <c r="A85" s="33"/>
      <c r="B85" s="33"/>
      <c r="C85" s="33"/>
      <c r="D85" s="33"/>
      <c r="E85" s="33"/>
      <c r="F85" s="33"/>
      <c r="G85" s="33"/>
      <c r="H85" s="33"/>
    </row>
    <row r="86" spans="1:8" x14ac:dyDescent="0.2">
      <c r="A86" s="33"/>
      <c r="B86" s="33"/>
      <c r="C86" s="33"/>
      <c r="D86" s="33"/>
      <c r="E86" s="33"/>
      <c r="F86" s="33"/>
      <c r="G86" s="33"/>
      <c r="H86" s="33"/>
    </row>
    <row r="87" spans="1:8" x14ac:dyDescent="0.2">
      <c r="A87" s="33"/>
      <c r="B87" s="33"/>
      <c r="C87" s="33"/>
      <c r="D87" s="33"/>
      <c r="E87" s="33"/>
      <c r="F87" s="33"/>
      <c r="G87" s="33"/>
      <c r="H87" s="33"/>
    </row>
    <row r="88" spans="1:8" x14ac:dyDescent="0.2">
      <c r="A88" s="33"/>
      <c r="B88" s="33"/>
      <c r="C88" s="33"/>
      <c r="D88" s="33"/>
      <c r="E88" s="33"/>
      <c r="F88" s="33"/>
      <c r="G88" s="33"/>
      <c r="H88" s="33"/>
    </row>
    <row r="89" spans="1:8" x14ac:dyDescent="0.2">
      <c r="A89" s="33"/>
      <c r="B89" s="33"/>
      <c r="C89" s="33"/>
      <c r="D89" s="33"/>
      <c r="E89" s="33"/>
      <c r="F89" s="33"/>
      <c r="G89" s="33"/>
      <c r="H89" s="33"/>
    </row>
    <row r="90" spans="1:8" x14ac:dyDescent="0.2">
      <c r="A90" s="33"/>
      <c r="B90" s="33"/>
      <c r="C90" s="33"/>
      <c r="D90" s="33"/>
      <c r="E90" s="33"/>
      <c r="F90" s="33"/>
      <c r="G90" s="33"/>
      <c r="H90" s="33"/>
    </row>
  </sheetData>
  <conditionalFormatting sqref="A2:H9">
    <cfRule type="expression" dxfId="27" priority="35">
      <formula>AND(LEN($H2)&gt;0,$H2="N")</formula>
    </cfRule>
    <cfRule type="expression" dxfId="26" priority="36">
      <formula>AND(LEN($H2)&gt;0,$H2="Y")</formula>
    </cfRule>
  </conditionalFormatting>
  <conditionalFormatting sqref="A10:H10">
    <cfRule type="expression" dxfId="25" priority="33">
      <formula>AND(LEN($H10)&gt;0,$H10="N")</formula>
    </cfRule>
    <cfRule type="expression" dxfId="24" priority="34">
      <formula>AND(LEN($H10)&gt;0,$H10="Y")</formula>
    </cfRule>
  </conditionalFormatting>
  <conditionalFormatting sqref="A11:H11">
    <cfRule type="expression" dxfId="23" priority="31">
      <formula>AND(LEN($H11)&gt;0,$H11="N")</formula>
    </cfRule>
    <cfRule type="expression" dxfId="22" priority="32">
      <formula>AND(LEN($H11)&gt;0,$H11="Y")</formula>
    </cfRule>
  </conditionalFormatting>
  <conditionalFormatting sqref="A12:H12">
    <cfRule type="expression" dxfId="21" priority="29">
      <formula>AND(LEN($H12)&gt;0,$H12="N")</formula>
    </cfRule>
    <cfRule type="expression" dxfId="20" priority="30">
      <formula>AND(LEN($H12)&gt;0,$H12="Y")</formula>
    </cfRule>
  </conditionalFormatting>
  <conditionalFormatting sqref="A13:H13">
    <cfRule type="expression" dxfId="19" priority="27">
      <formula>AND(LEN($H13)&gt;0,$H13="N")</formula>
    </cfRule>
    <cfRule type="expression" dxfId="18" priority="28">
      <formula>AND(LEN($H13)&gt;0,$H13="Y")</formula>
    </cfRule>
  </conditionalFormatting>
  <conditionalFormatting sqref="A14:H14">
    <cfRule type="expression" dxfId="17" priority="25">
      <formula>AND(LEN($H14)&gt;0,$H14="N")</formula>
    </cfRule>
    <cfRule type="expression" dxfId="16" priority="26">
      <formula>AND(LEN($H14)&gt;0,$H14="Y")</formula>
    </cfRule>
  </conditionalFormatting>
  <conditionalFormatting sqref="A15:H16">
    <cfRule type="expression" dxfId="15" priority="23">
      <formula>AND(LEN($H15)&gt;0,$H15="N")</formula>
    </cfRule>
    <cfRule type="expression" dxfId="14" priority="24">
      <formula>AND(LEN($H15)&gt;0,$H15="Y")</formula>
    </cfRule>
  </conditionalFormatting>
  <conditionalFormatting sqref="A17:H17">
    <cfRule type="expression" dxfId="13" priority="21">
      <formula>AND(LEN($H17)&gt;0,$H17="N")</formula>
    </cfRule>
    <cfRule type="expression" dxfId="12" priority="22">
      <formula>AND(LEN($H17)&gt;0,$H17="Y")</formula>
    </cfRule>
  </conditionalFormatting>
  <conditionalFormatting sqref="A18:H18">
    <cfRule type="expression" dxfId="11" priority="17">
      <formula>AND(LEN($H18)&gt;0,$H18="N")</formula>
    </cfRule>
    <cfRule type="expression" dxfId="10" priority="18">
      <formula>AND(LEN($H18)&gt;0,$H18="Y")</formula>
    </cfRule>
  </conditionalFormatting>
  <conditionalFormatting sqref="A19:H19">
    <cfRule type="expression" dxfId="9" priority="15">
      <formula>AND(LEN($H19)&gt;0,$H19="N")</formula>
    </cfRule>
    <cfRule type="expression" dxfId="8" priority="16">
      <formula>AND(LEN($H19)&gt;0,$H19="Y")</formula>
    </cfRule>
  </conditionalFormatting>
  <conditionalFormatting sqref="A20:H20">
    <cfRule type="expression" dxfId="7" priority="13">
      <formula>AND(LEN($H20)&gt;0,$H20="N")</formula>
    </cfRule>
    <cfRule type="expression" dxfId="6" priority="14">
      <formula>AND(LEN($H20)&gt;0,$H20="Y")</formula>
    </cfRule>
  </conditionalFormatting>
  <conditionalFormatting sqref="A21:H21">
    <cfRule type="expression" dxfId="5" priority="7">
      <formula>AND(LEN($H21)&gt;0,$H21="N")</formula>
    </cfRule>
    <cfRule type="expression" dxfId="4" priority="8">
      <formula>AND(LEN($H21)&gt;0,$H21="Y")</formula>
    </cfRule>
  </conditionalFormatting>
  <conditionalFormatting sqref="A22:H22">
    <cfRule type="expression" dxfId="3" priority="5">
      <formula>AND(LEN($H22)&gt;0,$H22="N")</formula>
    </cfRule>
    <cfRule type="expression" dxfId="2" priority="6">
      <formula>AND(LEN($H22)&gt;0,$H22="Y")</formula>
    </cfRule>
  </conditionalFormatting>
  <conditionalFormatting sqref="A23:H23">
    <cfRule type="expression" dxfId="1" priority="1">
      <formula>AND(LEN($H23)&gt;0,$H23="N")</formula>
    </cfRule>
    <cfRule type="expression" dxfId="0" priority="2">
      <formula>AND(LEN($H23)&gt;0,$H23="Y")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248</v>
      </c>
      <c r="B23">
        <v>5</v>
      </c>
    </row>
    <row r="24" spans="1:2" x14ac:dyDescent="0.2">
      <c r="A24" s="8" t="s">
        <v>250</v>
      </c>
      <c r="B24">
        <v>4</v>
      </c>
    </row>
    <row r="25" spans="1:2" x14ac:dyDescent="0.2">
      <c r="A25" s="8" t="s">
        <v>253</v>
      </c>
      <c r="B25">
        <v>3</v>
      </c>
    </row>
    <row r="26" spans="1:2" x14ac:dyDescent="0.2">
      <c r="A26" s="8" t="s">
        <v>263</v>
      </c>
      <c r="B26">
        <v>2</v>
      </c>
    </row>
    <row r="27" spans="1:2" x14ac:dyDescent="0.2">
      <c r="A27" s="8" t="s">
        <v>266</v>
      </c>
      <c r="B27">
        <v>1</v>
      </c>
    </row>
    <row r="28" spans="1:2" x14ac:dyDescent="0.2">
      <c r="A28" s="8" t="s">
        <v>275</v>
      </c>
      <c r="B28">
        <v>28</v>
      </c>
    </row>
    <row r="29" spans="1:2" x14ac:dyDescent="0.2">
      <c r="A29" s="8" t="s">
        <v>309</v>
      </c>
      <c r="B29">
        <v>29</v>
      </c>
    </row>
    <row r="30" spans="1:2" x14ac:dyDescent="0.2">
      <c r="A30" s="8" t="s">
        <v>314</v>
      </c>
      <c r="B30">
        <v>30</v>
      </c>
    </row>
    <row r="31" spans="1:2" x14ac:dyDescent="0.2">
      <c r="A31" s="8" t="s">
        <v>317</v>
      </c>
      <c r="B3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318</v>
      </c>
      <c r="B1">
        <v>27</v>
      </c>
      <c r="C1">
        <v>6</v>
      </c>
      <c r="D1" s="1"/>
      <c r="E1" s="22"/>
      <c r="F1" s="22"/>
      <c r="G1" s="1">
        <v>60</v>
      </c>
      <c r="H1" s="8"/>
      <c r="I1" s="1"/>
      <c r="J1" s="1"/>
      <c r="K1" s="1"/>
      <c r="L1" s="1"/>
    </row>
    <row r="2" spans="1:12" x14ac:dyDescent="0.2">
      <c r="A2" t="s">
        <v>319</v>
      </c>
      <c r="B2">
        <v>26</v>
      </c>
      <c r="C2">
        <v>10</v>
      </c>
      <c r="D2" s="1"/>
      <c r="E2" s="22"/>
      <c r="F2" s="22"/>
      <c r="G2" s="1">
        <v>60</v>
      </c>
      <c r="H2" s="8"/>
      <c r="I2" s="1"/>
      <c r="J2" s="1"/>
      <c r="K2" s="1"/>
      <c r="L2" s="1"/>
    </row>
    <row r="3" spans="1:12" x14ac:dyDescent="0.2">
      <c r="A3" t="s">
        <v>320</v>
      </c>
      <c r="B3">
        <v>27</v>
      </c>
      <c r="C3">
        <v>6</v>
      </c>
      <c r="D3" s="1"/>
      <c r="E3" s="22"/>
      <c r="F3" s="22"/>
      <c r="G3" s="1">
        <v>60</v>
      </c>
      <c r="H3" s="8"/>
      <c r="I3" s="1"/>
      <c r="J3" s="1"/>
      <c r="K3" s="1"/>
      <c r="L3" s="1"/>
    </row>
    <row r="4" spans="1:12" x14ac:dyDescent="0.2">
      <c r="A4" t="s">
        <v>321</v>
      </c>
      <c r="B4">
        <v>26</v>
      </c>
      <c r="C4">
        <v>6</v>
      </c>
      <c r="D4" s="1"/>
      <c r="E4" s="22"/>
      <c r="F4" s="22"/>
      <c r="G4" s="1">
        <v>60</v>
      </c>
      <c r="H4" s="8"/>
      <c r="I4" s="1"/>
      <c r="J4" s="1"/>
      <c r="K4" s="1"/>
      <c r="L4" s="1"/>
    </row>
    <row r="5" spans="1:12" x14ac:dyDescent="0.2">
      <c r="A5" t="s">
        <v>322</v>
      </c>
      <c r="B5">
        <v>27</v>
      </c>
      <c r="C5">
        <v>10</v>
      </c>
      <c r="D5" s="1"/>
      <c r="E5" s="22"/>
      <c r="F5" s="22"/>
      <c r="G5" s="1">
        <v>60</v>
      </c>
      <c r="H5" s="8"/>
      <c r="I5" s="1"/>
      <c r="J5" s="1"/>
      <c r="K5" s="1"/>
      <c r="L5" s="1"/>
    </row>
    <row r="6" spans="1:12" x14ac:dyDescent="0.2">
      <c r="A6" t="s">
        <v>323</v>
      </c>
      <c r="B6">
        <v>26</v>
      </c>
      <c r="C6">
        <v>6</v>
      </c>
      <c r="D6" s="1"/>
      <c r="E6" s="22"/>
      <c r="F6" s="22"/>
      <c r="G6" s="1">
        <v>60</v>
      </c>
      <c r="H6" s="8"/>
      <c r="I6" s="1"/>
      <c r="J6" s="1"/>
      <c r="K6" s="1"/>
      <c r="L6" s="1"/>
    </row>
    <row r="7" spans="1:12" x14ac:dyDescent="0.2">
      <c r="A7" t="s">
        <v>324</v>
      </c>
      <c r="B7">
        <v>26</v>
      </c>
      <c r="C7">
        <v>10</v>
      </c>
      <c r="D7" s="1"/>
      <c r="E7" s="22"/>
      <c r="F7" s="22"/>
      <c r="G7" s="1">
        <v>60</v>
      </c>
      <c r="H7" s="8"/>
      <c r="I7" s="1"/>
      <c r="J7" s="1"/>
      <c r="K7" s="1"/>
      <c r="L7" s="1"/>
    </row>
    <row r="8" spans="1:12" x14ac:dyDescent="0.2">
      <c r="A8" t="s">
        <v>325</v>
      </c>
      <c r="B8">
        <v>27</v>
      </c>
      <c r="C8">
        <v>6</v>
      </c>
      <c r="D8" s="1"/>
      <c r="E8" s="22"/>
      <c r="F8" s="22"/>
      <c r="G8" s="1">
        <v>60</v>
      </c>
      <c r="H8" s="8"/>
      <c r="I8" s="1"/>
      <c r="J8" s="1"/>
      <c r="K8" s="1"/>
      <c r="L8" s="1"/>
    </row>
    <row r="9" spans="1:12" x14ac:dyDescent="0.2">
      <c r="A9" t="s">
        <v>326</v>
      </c>
      <c r="B9">
        <v>27</v>
      </c>
      <c r="C9">
        <v>10</v>
      </c>
      <c r="D9" s="1"/>
      <c r="E9" s="22"/>
      <c r="F9" s="22"/>
      <c r="G9" s="1">
        <v>60</v>
      </c>
      <c r="H9" s="8"/>
      <c r="I9" s="1"/>
      <c r="J9" s="1"/>
      <c r="K9" s="1"/>
      <c r="L9" s="1"/>
    </row>
    <row r="10" spans="1:12" x14ac:dyDescent="0.2">
      <c r="A10" t="s">
        <v>327</v>
      </c>
      <c r="B10">
        <v>26</v>
      </c>
      <c r="C10">
        <v>4</v>
      </c>
      <c r="D10" s="1"/>
      <c r="E10" s="22"/>
      <c r="F10" s="22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328</v>
      </c>
      <c r="B11">
        <v>27</v>
      </c>
      <c r="C11">
        <v>6</v>
      </c>
      <c r="D11" s="1"/>
      <c r="E11" s="22"/>
      <c r="F11" s="22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329</v>
      </c>
      <c r="B12">
        <v>26</v>
      </c>
      <c r="C12">
        <v>10</v>
      </c>
      <c r="D12" s="1"/>
      <c r="E12" s="22"/>
      <c r="F12" s="22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330</v>
      </c>
      <c r="B13">
        <v>27</v>
      </c>
      <c r="C13">
        <v>6</v>
      </c>
      <c r="D13" s="1"/>
      <c r="E13" s="22"/>
      <c r="F13" s="22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331</v>
      </c>
      <c r="B14">
        <v>26</v>
      </c>
      <c r="C14">
        <v>6</v>
      </c>
      <c r="D14" s="1"/>
      <c r="E14" s="22"/>
      <c r="F14" s="22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332</v>
      </c>
      <c r="B15">
        <v>27</v>
      </c>
      <c r="C15">
        <v>10</v>
      </c>
      <c r="D15" s="1"/>
      <c r="E15" s="22"/>
      <c r="F15" s="22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333</v>
      </c>
      <c r="B16">
        <v>26</v>
      </c>
      <c r="C16">
        <v>6</v>
      </c>
      <c r="D16" s="1"/>
      <c r="E16" s="22"/>
      <c r="F16" s="22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334</v>
      </c>
      <c r="B17">
        <v>27</v>
      </c>
      <c r="C17">
        <v>6</v>
      </c>
      <c r="D17" s="1"/>
      <c r="E17" s="22"/>
      <c r="F17" s="22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335</v>
      </c>
      <c r="B18">
        <v>26</v>
      </c>
      <c r="C18">
        <v>8</v>
      </c>
      <c r="D18" s="1"/>
      <c r="E18" s="22"/>
      <c r="F18" s="22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336</v>
      </c>
      <c r="B19">
        <v>27</v>
      </c>
      <c r="C19">
        <v>6</v>
      </c>
      <c r="D19" s="1"/>
      <c r="E19" s="22"/>
      <c r="F19" s="22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337</v>
      </c>
      <c r="B20">
        <v>26</v>
      </c>
      <c r="C20">
        <v>4</v>
      </c>
      <c r="D20" s="1"/>
      <c r="E20" s="22"/>
      <c r="F20" s="22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338</v>
      </c>
      <c r="B21">
        <v>27</v>
      </c>
      <c r="C21">
        <v>4</v>
      </c>
      <c r="D21" s="1"/>
      <c r="E21" s="22"/>
      <c r="F21" s="22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339</v>
      </c>
      <c r="B22">
        <v>26</v>
      </c>
      <c r="C22">
        <v>13</v>
      </c>
      <c r="D22" s="1"/>
      <c r="E22" s="22"/>
      <c r="F22" s="22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340</v>
      </c>
      <c r="B23">
        <v>27</v>
      </c>
      <c r="C23">
        <v>6</v>
      </c>
      <c r="D23" s="1"/>
      <c r="E23" s="22"/>
      <c r="F23" s="22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341</v>
      </c>
      <c r="B24">
        <v>26</v>
      </c>
      <c r="C24">
        <v>6</v>
      </c>
      <c r="D24" s="1"/>
      <c r="E24" s="22"/>
      <c r="F24" s="22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342</v>
      </c>
      <c r="B25">
        <v>27</v>
      </c>
      <c r="C25">
        <v>6</v>
      </c>
      <c r="D25" s="1"/>
      <c r="E25" s="22"/>
      <c r="F25" s="22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343</v>
      </c>
      <c r="B26">
        <v>26</v>
      </c>
      <c r="C26">
        <v>6</v>
      </c>
      <c r="D26" s="1"/>
      <c r="E26" s="22"/>
      <c r="F26" s="22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344</v>
      </c>
      <c r="B27">
        <v>27</v>
      </c>
      <c r="C27">
        <v>4</v>
      </c>
      <c r="D27" s="1"/>
      <c r="E27" s="22"/>
      <c r="F27" s="22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345</v>
      </c>
      <c r="B28">
        <v>27</v>
      </c>
      <c r="C28">
        <v>6</v>
      </c>
      <c r="D28" s="1"/>
      <c r="E28" s="22"/>
      <c r="F28" s="22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346</v>
      </c>
      <c r="B29">
        <v>26</v>
      </c>
      <c r="C29">
        <v>6</v>
      </c>
      <c r="D29" s="1"/>
      <c r="E29" s="22"/>
      <c r="F29" s="22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347</v>
      </c>
      <c r="B30">
        <v>27</v>
      </c>
      <c r="C30">
        <v>6</v>
      </c>
      <c r="D30" s="1"/>
      <c r="E30" s="22"/>
      <c r="F30" s="22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348</v>
      </c>
      <c r="B31">
        <v>26</v>
      </c>
      <c r="C31">
        <v>6</v>
      </c>
      <c r="D31" s="1"/>
      <c r="E31" s="22"/>
      <c r="F31" s="22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349</v>
      </c>
      <c r="B32">
        <v>27</v>
      </c>
      <c r="C32">
        <v>6</v>
      </c>
      <c r="D32" s="1"/>
      <c r="E32" s="22"/>
      <c r="F32" s="22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350</v>
      </c>
      <c r="B33">
        <v>26</v>
      </c>
      <c r="C33">
        <v>8</v>
      </c>
      <c r="D33" s="1"/>
      <c r="E33" s="22"/>
      <c r="F33" s="22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351</v>
      </c>
      <c r="B34">
        <v>27</v>
      </c>
      <c r="C34">
        <v>6</v>
      </c>
      <c r="D34" s="1"/>
      <c r="E34" s="22"/>
      <c r="F34" s="22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352</v>
      </c>
      <c r="B35">
        <v>26</v>
      </c>
      <c r="C35">
        <v>6</v>
      </c>
      <c r="D35" s="1"/>
      <c r="E35" s="22"/>
      <c r="F35" s="22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353</v>
      </c>
      <c r="B36">
        <v>27</v>
      </c>
      <c r="C36">
        <v>6</v>
      </c>
      <c r="D36" s="1"/>
      <c r="E36" s="22"/>
      <c r="F36" s="22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354</v>
      </c>
      <c r="B37">
        <v>26</v>
      </c>
      <c r="C37">
        <v>8</v>
      </c>
      <c r="D37" s="1"/>
      <c r="E37" s="22"/>
      <c r="F37" s="22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355</v>
      </c>
      <c r="B38">
        <v>27</v>
      </c>
      <c r="C38">
        <v>6</v>
      </c>
      <c r="D38" s="1"/>
      <c r="E38" s="22"/>
      <c r="F38" s="22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356</v>
      </c>
      <c r="B39">
        <v>26</v>
      </c>
      <c r="C39">
        <v>6</v>
      </c>
      <c r="D39" s="1"/>
      <c r="E39" s="22"/>
      <c r="F39" s="22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357</v>
      </c>
      <c r="B40">
        <v>27</v>
      </c>
      <c r="C40">
        <v>6</v>
      </c>
      <c r="D40" s="1"/>
      <c r="E40" s="22"/>
      <c r="F40" s="22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358</v>
      </c>
      <c r="B41">
        <v>26</v>
      </c>
      <c r="C41">
        <v>9</v>
      </c>
      <c r="D41" s="1"/>
      <c r="E41" s="22"/>
      <c r="F41" s="22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359</v>
      </c>
      <c r="B42">
        <v>27</v>
      </c>
      <c r="C42">
        <v>6</v>
      </c>
      <c r="D42" s="1"/>
      <c r="E42" s="22"/>
      <c r="F42" s="22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360</v>
      </c>
      <c r="B43">
        <v>26</v>
      </c>
      <c r="C43">
        <v>6</v>
      </c>
      <c r="D43" s="1"/>
      <c r="E43" s="22"/>
      <c r="F43" s="22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361</v>
      </c>
      <c r="B44">
        <v>27</v>
      </c>
      <c r="C44">
        <v>6</v>
      </c>
      <c r="D44" s="1"/>
      <c r="E44" s="22"/>
      <c r="F44" s="22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362</v>
      </c>
      <c r="B45">
        <v>26</v>
      </c>
      <c r="C45">
        <v>9</v>
      </c>
      <c r="D45" s="1"/>
      <c r="E45" s="22"/>
      <c r="F45" s="22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363</v>
      </c>
      <c r="B46">
        <v>27</v>
      </c>
      <c r="C46">
        <v>6</v>
      </c>
      <c r="D46" s="1"/>
      <c r="E46" s="22"/>
      <c r="F46" s="22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364</v>
      </c>
      <c r="B47">
        <v>26</v>
      </c>
      <c r="C47">
        <v>6</v>
      </c>
      <c r="D47" s="1"/>
      <c r="E47" s="22"/>
      <c r="F47" s="22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365</v>
      </c>
      <c r="B48">
        <v>27</v>
      </c>
      <c r="C48">
        <v>6</v>
      </c>
      <c r="D48" s="1"/>
      <c r="E48" s="22"/>
      <c r="F48" s="22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366</v>
      </c>
      <c r="B49">
        <v>26</v>
      </c>
      <c r="C49">
        <v>9</v>
      </c>
      <c r="D49" s="1"/>
      <c r="E49" s="22"/>
      <c r="F49" s="22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367</v>
      </c>
      <c r="B50">
        <v>27</v>
      </c>
      <c r="C50">
        <v>6</v>
      </c>
      <c r="D50" s="1"/>
      <c r="E50" s="22"/>
      <c r="F50" s="22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368</v>
      </c>
      <c r="B51">
        <v>26</v>
      </c>
      <c r="C51">
        <v>6</v>
      </c>
      <c r="D51" s="1"/>
      <c r="E51" s="22"/>
      <c r="F51" s="22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369</v>
      </c>
      <c r="B52">
        <v>27</v>
      </c>
      <c r="C52">
        <v>6</v>
      </c>
      <c r="D52" s="1"/>
      <c r="E52" s="22"/>
      <c r="F52" s="22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370</v>
      </c>
      <c r="B53">
        <v>26</v>
      </c>
      <c r="C53">
        <v>10</v>
      </c>
      <c r="D53" s="1"/>
      <c r="E53" s="22"/>
      <c r="F53" s="22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371</v>
      </c>
      <c r="B54">
        <v>27</v>
      </c>
      <c r="C54">
        <v>6</v>
      </c>
      <c r="D54" s="1"/>
      <c r="E54" s="22"/>
      <c r="F54" s="22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372</v>
      </c>
      <c r="B55">
        <v>26</v>
      </c>
      <c r="C55">
        <v>6</v>
      </c>
      <c r="D55" s="1"/>
      <c r="E55" s="22"/>
      <c r="F55" s="22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373</v>
      </c>
      <c r="B56">
        <v>27</v>
      </c>
      <c r="C56">
        <v>6</v>
      </c>
      <c r="D56" s="1"/>
      <c r="E56" s="22"/>
      <c r="F56" s="22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374</v>
      </c>
      <c r="B57">
        <v>26</v>
      </c>
      <c r="C57">
        <v>10</v>
      </c>
      <c r="D57" s="1"/>
      <c r="E57" s="22"/>
      <c r="F57" s="22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375</v>
      </c>
      <c r="B58">
        <v>27</v>
      </c>
      <c r="C58">
        <v>6</v>
      </c>
      <c r="D58" s="1"/>
      <c r="E58" s="22"/>
      <c r="F58" s="22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376</v>
      </c>
      <c r="B59">
        <v>26</v>
      </c>
      <c r="C59">
        <v>6</v>
      </c>
      <c r="D59" s="1"/>
      <c r="E59" s="22"/>
      <c r="F59" s="22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377</v>
      </c>
      <c r="B60">
        <v>27</v>
      </c>
      <c r="C60">
        <v>10</v>
      </c>
      <c r="D60" s="1"/>
      <c r="E60" s="22"/>
      <c r="F60" s="22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378</v>
      </c>
      <c r="B61">
        <v>26</v>
      </c>
      <c r="C61">
        <v>6</v>
      </c>
      <c r="D61" s="1"/>
      <c r="E61" s="22"/>
      <c r="F61" s="22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379</v>
      </c>
      <c r="B62">
        <v>27</v>
      </c>
      <c r="C62">
        <v>6</v>
      </c>
      <c r="D62" s="1"/>
      <c r="E62" s="22"/>
      <c r="F62" s="22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380</v>
      </c>
      <c r="B63">
        <v>26</v>
      </c>
      <c r="C63">
        <v>6</v>
      </c>
      <c r="D63" s="1"/>
      <c r="E63" s="22"/>
      <c r="F63" s="22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381</v>
      </c>
      <c r="B64">
        <v>27</v>
      </c>
      <c r="C64">
        <v>11</v>
      </c>
      <c r="D64" s="1"/>
      <c r="E64" s="22"/>
      <c r="F64" s="22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382</v>
      </c>
      <c r="B65">
        <v>26</v>
      </c>
      <c r="C65">
        <v>6</v>
      </c>
      <c r="D65" s="1"/>
      <c r="E65" s="22"/>
      <c r="F65" s="22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383</v>
      </c>
      <c r="B66">
        <v>27</v>
      </c>
      <c r="C66">
        <v>6</v>
      </c>
      <c r="D66" s="1"/>
      <c r="E66" s="22"/>
      <c r="F66" s="22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384</v>
      </c>
      <c r="B67">
        <v>26</v>
      </c>
      <c r="C67">
        <v>6</v>
      </c>
      <c r="D67" s="1"/>
      <c r="E67" s="22"/>
      <c r="F67" s="22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385</v>
      </c>
      <c r="B68">
        <v>27</v>
      </c>
      <c r="C68">
        <v>11</v>
      </c>
      <c r="D68" s="1"/>
      <c r="E68" s="22"/>
      <c r="F68" s="22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386</v>
      </c>
      <c r="B69">
        <v>26</v>
      </c>
      <c r="C69">
        <v>6</v>
      </c>
      <c r="D69" s="1"/>
      <c r="E69" s="22"/>
      <c r="F69" s="22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387</v>
      </c>
      <c r="B70">
        <v>27</v>
      </c>
      <c r="C70">
        <v>6</v>
      </c>
      <c r="D70" s="1"/>
      <c r="E70" s="22"/>
      <c r="F70" s="22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388</v>
      </c>
      <c r="B71">
        <v>26</v>
      </c>
      <c r="C71">
        <v>6</v>
      </c>
      <c r="D71" s="1"/>
      <c r="E71" s="22"/>
      <c r="F71" s="22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389</v>
      </c>
      <c r="B72">
        <v>27</v>
      </c>
      <c r="C72">
        <v>11</v>
      </c>
      <c r="D72" s="1"/>
      <c r="E72" s="22"/>
      <c r="F72" s="22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390</v>
      </c>
      <c r="B73">
        <v>26</v>
      </c>
      <c r="C73">
        <v>6</v>
      </c>
      <c r="D73" s="1"/>
      <c r="E73" s="22"/>
      <c r="F73" s="22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391</v>
      </c>
      <c r="B74">
        <v>27</v>
      </c>
      <c r="C74">
        <v>6</v>
      </c>
      <c r="D74" s="1"/>
      <c r="E74" s="22"/>
      <c r="F74" s="22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392</v>
      </c>
      <c r="B75">
        <v>26</v>
      </c>
      <c r="C75">
        <v>6</v>
      </c>
      <c r="D75" s="1"/>
      <c r="E75" s="22"/>
      <c r="F75" s="22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393</v>
      </c>
      <c r="B76">
        <v>27</v>
      </c>
      <c r="C76">
        <v>12</v>
      </c>
      <c r="D76" s="1"/>
      <c r="E76" s="22"/>
      <c r="F76" s="22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394</v>
      </c>
      <c r="B77">
        <v>26</v>
      </c>
      <c r="C77">
        <v>6</v>
      </c>
      <c r="D77" s="1"/>
      <c r="E77" s="22"/>
      <c r="F77" s="22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395</v>
      </c>
      <c r="B78">
        <v>27</v>
      </c>
      <c r="C78">
        <v>6</v>
      </c>
      <c r="D78" s="1"/>
      <c r="E78" s="22"/>
      <c r="F78" s="22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396</v>
      </c>
      <c r="B79">
        <v>26</v>
      </c>
      <c r="C79">
        <v>6</v>
      </c>
      <c r="D79" s="1"/>
      <c r="E79" s="22"/>
      <c r="F79" s="22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397</v>
      </c>
      <c r="B80">
        <v>27</v>
      </c>
      <c r="C80">
        <v>12</v>
      </c>
      <c r="D80" s="1"/>
      <c r="E80" s="22"/>
      <c r="F80" s="22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398</v>
      </c>
      <c r="B81">
        <v>26</v>
      </c>
      <c r="C81">
        <v>6</v>
      </c>
      <c r="D81" s="1"/>
      <c r="E81" s="22"/>
      <c r="F81" s="22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399</v>
      </c>
      <c r="B82">
        <v>27</v>
      </c>
      <c r="C82">
        <v>6</v>
      </c>
      <c r="D82" s="1"/>
      <c r="E82" s="22"/>
      <c r="F82" s="22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400</v>
      </c>
      <c r="B83">
        <v>25</v>
      </c>
      <c r="C83">
        <v>12</v>
      </c>
      <c r="D83" s="1"/>
      <c r="E83" s="22"/>
      <c r="F83" s="22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401</v>
      </c>
      <c r="B84">
        <v>25</v>
      </c>
      <c r="C84">
        <v>6</v>
      </c>
      <c r="D84" s="1"/>
      <c r="E84" s="22"/>
      <c r="F84" s="22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402</v>
      </c>
      <c r="B85">
        <v>25</v>
      </c>
      <c r="C85">
        <v>6</v>
      </c>
      <c r="D85" s="1"/>
      <c r="E85" s="22"/>
      <c r="F85" s="22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403</v>
      </c>
      <c r="B86">
        <v>25</v>
      </c>
      <c r="C86">
        <v>6</v>
      </c>
      <c r="D86" s="1"/>
      <c r="E86" s="22"/>
      <c r="F86" s="22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404</v>
      </c>
      <c r="B87">
        <v>25</v>
      </c>
      <c r="C87">
        <v>6</v>
      </c>
      <c r="D87" s="1"/>
      <c r="E87" s="22"/>
      <c r="F87" s="22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405</v>
      </c>
      <c r="B88">
        <v>26</v>
      </c>
      <c r="C88">
        <v>6</v>
      </c>
      <c r="D88" s="1"/>
      <c r="E88" s="22"/>
      <c r="F88" s="22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406</v>
      </c>
      <c r="B89">
        <v>24</v>
      </c>
      <c r="C89">
        <v>6</v>
      </c>
      <c r="D89" s="1"/>
      <c r="E89" s="22"/>
      <c r="F89" s="22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407</v>
      </c>
      <c r="B90">
        <v>24</v>
      </c>
      <c r="C90">
        <v>13</v>
      </c>
      <c r="D90" s="1"/>
      <c r="E90" s="22"/>
      <c r="F90" s="22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408</v>
      </c>
      <c r="B91">
        <v>24</v>
      </c>
      <c r="C91">
        <v>6</v>
      </c>
      <c r="D91" s="1"/>
      <c r="E91" s="22"/>
      <c r="F91" s="22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409</v>
      </c>
      <c r="B92">
        <v>24</v>
      </c>
      <c r="C92">
        <v>6</v>
      </c>
      <c r="D92" s="1"/>
      <c r="E92" s="22"/>
      <c r="F92" s="22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410</v>
      </c>
      <c r="B93">
        <v>24</v>
      </c>
      <c r="C93">
        <v>6</v>
      </c>
      <c r="D93" s="1"/>
      <c r="E93" s="22"/>
      <c r="F93" s="22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411</v>
      </c>
      <c r="B94">
        <v>24</v>
      </c>
      <c r="C94">
        <v>13</v>
      </c>
      <c r="D94" s="1"/>
      <c r="E94" s="22"/>
      <c r="F94" s="22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412</v>
      </c>
      <c r="B95">
        <v>24</v>
      </c>
      <c r="C95">
        <v>6</v>
      </c>
      <c r="D95" s="1"/>
      <c r="E95" s="22"/>
      <c r="F95" s="22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413</v>
      </c>
      <c r="B96">
        <v>24</v>
      </c>
      <c r="C96">
        <v>6</v>
      </c>
      <c r="D96" s="1"/>
      <c r="E96" s="22"/>
      <c r="F96" s="22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414</v>
      </c>
      <c r="B97">
        <v>24</v>
      </c>
      <c r="C97">
        <v>6</v>
      </c>
      <c r="D97" s="1"/>
      <c r="E97" s="22"/>
      <c r="F97" s="22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415</v>
      </c>
      <c r="B98">
        <v>24</v>
      </c>
      <c r="C98">
        <v>13</v>
      </c>
      <c r="D98" s="1"/>
      <c r="E98" s="22"/>
      <c r="F98" s="22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416</v>
      </c>
      <c r="B99">
        <v>24</v>
      </c>
      <c r="C99">
        <v>6</v>
      </c>
      <c r="D99" s="1"/>
      <c r="E99" s="22"/>
      <c r="F99" s="22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417</v>
      </c>
      <c r="B100">
        <v>24</v>
      </c>
      <c r="C100">
        <v>6</v>
      </c>
      <c r="D100" s="1"/>
      <c r="E100" s="22"/>
      <c r="F100" s="22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418</v>
      </c>
      <c r="B101">
        <v>24</v>
      </c>
      <c r="C101">
        <v>6</v>
      </c>
      <c r="D101" s="1"/>
      <c r="E101" s="22"/>
      <c r="F101" s="22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419</v>
      </c>
      <c r="B102">
        <v>24</v>
      </c>
      <c r="C102">
        <v>6</v>
      </c>
      <c r="D102" s="1"/>
      <c r="E102" s="22"/>
      <c r="F102" s="22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420</v>
      </c>
      <c r="B103">
        <v>24</v>
      </c>
      <c r="C103">
        <v>6</v>
      </c>
      <c r="D103" s="1"/>
      <c r="E103" s="22"/>
      <c r="F103" s="22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421</v>
      </c>
      <c r="B104">
        <v>24</v>
      </c>
      <c r="C104">
        <v>13</v>
      </c>
      <c r="D104" s="1"/>
      <c r="E104" s="22"/>
      <c r="F104" s="22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422</v>
      </c>
      <c r="B105">
        <v>24</v>
      </c>
      <c r="C105">
        <v>6</v>
      </c>
      <c r="D105" s="1"/>
      <c r="E105" s="22"/>
      <c r="F105" s="22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423</v>
      </c>
      <c r="B106">
        <v>24</v>
      </c>
      <c r="C106">
        <v>6</v>
      </c>
      <c r="D106" s="1"/>
      <c r="E106" s="22"/>
      <c r="F106" s="22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424</v>
      </c>
      <c r="B107">
        <v>24</v>
      </c>
      <c r="C107">
        <v>6</v>
      </c>
      <c r="D107" s="1"/>
      <c r="E107" s="22"/>
      <c r="F107" s="22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425</v>
      </c>
      <c r="B108">
        <v>24</v>
      </c>
      <c r="C108">
        <v>6</v>
      </c>
      <c r="D108" s="1"/>
      <c r="E108" s="22"/>
      <c r="F108" s="22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426</v>
      </c>
      <c r="B109">
        <v>24</v>
      </c>
      <c r="C109">
        <v>6</v>
      </c>
      <c r="D109" s="1"/>
      <c r="E109" s="22"/>
      <c r="F109" s="22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427</v>
      </c>
      <c r="B110">
        <v>24</v>
      </c>
      <c r="C110">
        <v>6</v>
      </c>
      <c r="D110" s="1"/>
      <c r="E110" s="22"/>
      <c r="F110" s="22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428</v>
      </c>
      <c r="B111">
        <v>24</v>
      </c>
      <c r="C111">
        <v>12</v>
      </c>
      <c r="D111" s="1"/>
      <c r="E111" s="22"/>
      <c r="F111" s="22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429</v>
      </c>
      <c r="B112">
        <v>24</v>
      </c>
      <c r="C112">
        <v>6</v>
      </c>
      <c r="D112" s="1"/>
      <c r="E112" s="22"/>
      <c r="F112" s="22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430</v>
      </c>
      <c r="B113">
        <v>24</v>
      </c>
      <c r="C113">
        <v>6</v>
      </c>
      <c r="D113" s="1"/>
      <c r="E113" s="22"/>
      <c r="F113" s="22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431</v>
      </c>
      <c r="B114">
        <v>24</v>
      </c>
      <c r="C114">
        <v>6</v>
      </c>
      <c r="D114" s="1"/>
      <c r="E114" s="22"/>
      <c r="F114" s="22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432</v>
      </c>
      <c r="B115">
        <v>24</v>
      </c>
      <c r="C115">
        <v>13</v>
      </c>
      <c r="D115" s="1"/>
      <c r="E115" s="22"/>
      <c r="F115" s="22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433</v>
      </c>
      <c r="B116">
        <v>24</v>
      </c>
      <c r="C116">
        <v>6</v>
      </c>
      <c r="D116" s="1"/>
      <c r="E116" s="22"/>
      <c r="F116" s="22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434</v>
      </c>
      <c r="B117">
        <v>24</v>
      </c>
      <c r="C117">
        <v>6</v>
      </c>
      <c r="D117" s="1"/>
      <c r="E117" s="22"/>
      <c r="F117" s="22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435</v>
      </c>
      <c r="B118">
        <v>24</v>
      </c>
      <c r="C118">
        <v>10</v>
      </c>
      <c r="D118" s="1"/>
      <c r="E118" s="22"/>
      <c r="F118" s="22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436</v>
      </c>
      <c r="B119">
        <v>24</v>
      </c>
      <c r="C119">
        <v>6</v>
      </c>
      <c r="D119" s="1"/>
      <c r="E119" s="22"/>
      <c r="F119" s="22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437</v>
      </c>
      <c r="B120">
        <v>24</v>
      </c>
      <c r="C120">
        <v>6</v>
      </c>
      <c r="D120" s="1"/>
      <c r="E120" s="22"/>
      <c r="F120" s="22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438</v>
      </c>
      <c r="B121">
        <v>24</v>
      </c>
      <c r="C121">
        <v>6</v>
      </c>
      <c r="D121" s="1"/>
      <c r="E121" s="22"/>
      <c r="F121" s="22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439</v>
      </c>
      <c r="B122">
        <v>24</v>
      </c>
      <c r="C122">
        <v>13</v>
      </c>
      <c r="D122" s="1"/>
      <c r="E122" s="22"/>
      <c r="F122" s="22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440</v>
      </c>
      <c r="B123">
        <v>24</v>
      </c>
      <c r="C123">
        <v>3</v>
      </c>
      <c r="D123" s="1"/>
      <c r="E123" s="22"/>
      <c r="F123" s="22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441</v>
      </c>
      <c r="B124">
        <v>24</v>
      </c>
      <c r="C124">
        <v>6</v>
      </c>
      <c r="D124" s="1"/>
      <c r="E124" s="22"/>
      <c r="F124" s="22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442</v>
      </c>
      <c r="B125">
        <v>24</v>
      </c>
      <c r="C125">
        <v>6</v>
      </c>
      <c r="D125" s="1"/>
      <c r="E125" s="22"/>
      <c r="F125" s="22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443</v>
      </c>
      <c r="B126">
        <v>24</v>
      </c>
      <c r="C126">
        <v>5</v>
      </c>
      <c r="D126" s="1"/>
      <c r="E126" s="22"/>
      <c r="F126" s="22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444</v>
      </c>
      <c r="B127">
        <v>24</v>
      </c>
      <c r="C127">
        <v>6</v>
      </c>
      <c r="D127" s="1"/>
      <c r="E127" s="22"/>
      <c r="F127" s="22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445</v>
      </c>
      <c r="B128">
        <v>24</v>
      </c>
      <c r="C128">
        <v>4</v>
      </c>
      <c r="D128" s="1"/>
      <c r="E128" s="22"/>
      <c r="F128" s="22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446</v>
      </c>
      <c r="B129">
        <v>24</v>
      </c>
      <c r="C129">
        <v>9</v>
      </c>
      <c r="D129" s="1"/>
      <c r="E129" s="22"/>
      <c r="F129" s="22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447</v>
      </c>
      <c r="B130">
        <v>24</v>
      </c>
      <c r="C130">
        <v>2</v>
      </c>
      <c r="D130" s="1"/>
      <c r="E130" s="22"/>
      <c r="F130" s="22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448</v>
      </c>
      <c r="B131">
        <v>24</v>
      </c>
      <c r="C131">
        <v>6</v>
      </c>
      <c r="D131" s="1"/>
      <c r="E131" s="22"/>
      <c r="F131" s="22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449</v>
      </c>
      <c r="B132">
        <v>24</v>
      </c>
      <c r="C132">
        <v>5</v>
      </c>
      <c r="D132" s="1"/>
      <c r="E132" s="22"/>
      <c r="F132" s="22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450</v>
      </c>
      <c r="B133">
        <v>24</v>
      </c>
      <c r="C133">
        <v>7</v>
      </c>
      <c r="D133" s="1"/>
      <c r="E133" s="22"/>
      <c r="F133" s="22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451</v>
      </c>
      <c r="B134">
        <v>24</v>
      </c>
      <c r="C134">
        <v>6</v>
      </c>
      <c r="D134" s="1"/>
      <c r="E134" s="22"/>
      <c r="F134" s="22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452</v>
      </c>
      <c r="B135">
        <v>23</v>
      </c>
      <c r="C135">
        <v>6</v>
      </c>
      <c r="D135" s="1"/>
      <c r="E135" s="22"/>
      <c r="F135" s="22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453</v>
      </c>
      <c r="B136">
        <v>23</v>
      </c>
      <c r="C136">
        <v>6</v>
      </c>
      <c r="D136" s="1"/>
      <c r="E136" s="22"/>
      <c r="F136" s="22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454</v>
      </c>
      <c r="B137">
        <v>23</v>
      </c>
      <c r="C137">
        <v>13</v>
      </c>
      <c r="D137" s="1"/>
      <c r="E137" s="22"/>
      <c r="F137" s="22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455</v>
      </c>
      <c r="B138">
        <v>23</v>
      </c>
      <c r="C138">
        <v>6</v>
      </c>
      <c r="D138" s="1"/>
      <c r="E138" s="22"/>
      <c r="F138" s="22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456</v>
      </c>
      <c r="B139">
        <v>23</v>
      </c>
      <c r="C139">
        <v>6</v>
      </c>
      <c r="D139" s="1"/>
      <c r="E139" s="22"/>
      <c r="F139" s="22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457</v>
      </c>
      <c r="B140">
        <v>23</v>
      </c>
      <c r="C140">
        <v>8</v>
      </c>
      <c r="D140" s="1"/>
      <c r="E140" s="22"/>
      <c r="F140" s="22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458</v>
      </c>
      <c r="B141">
        <v>23</v>
      </c>
      <c r="C141">
        <v>4</v>
      </c>
      <c r="D141" s="1"/>
      <c r="E141" s="22"/>
      <c r="F141" s="22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459</v>
      </c>
      <c r="B142">
        <v>23</v>
      </c>
      <c r="C142">
        <v>4</v>
      </c>
      <c r="D142" s="1"/>
      <c r="E142" s="22"/>
      <c r="F142" s="22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460</v>
      </c>
      <c r="B143">
        <v>23</v>
      </c>
      <c r="C143">
        <v>13</v>
      </c>
      <c r="D143" s="1"/>
      <c r="E143" s="22"/>
      <c r="F143" s="22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461</v>
      </c>
      <c r="B144">
        <v>23</v>
      </c>
      <c r="C144">
        <v>5</v>
      </c>
      <c r="D144" s="1"/>
      <c r="E144" s="22"/>
      <c r="F144" s="22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462</v>
      </c>
      <c r="B145">
        <v>23</v>
      </c>
      <c r="C145">
        <v>6</v>
      </c>
      <c r="D145" s="1"/>
      <c r="E145" s="22"/>
      <c r="F145" s="22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463</v>
      </c>
      <c r="B146">
        <v>23</v>
      </c>
      <c r="C146">
        <v>6</v>
      </c>
      <c r="D146" s="1"/>
      <c r="E146" s="22"/>
      <c r="F146" s="22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464</v>
      </c>
      <c r="B147">
        <v>23</v>
      </c>
      <c r="C147">
        <v>13</v>
      </c>
      <c r="D147" s="1"/>
      <c r="E147" s="22"/>
      <c r="F147" s="22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465</v>
      </c>
      <c r="B148">
        <v>23</v>
      </c>
      <c r="C148">
        <v>6</v>
      </c>
      <c r="D148" s="1"/>
      <c r="E148" s="22"/>
      <c r="F148" s="22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466</v>
      </c>
      <c r="B149">
        <v>23</v>
      </c>
      <c r="C149">
        <v>13</v>
      </c>
      <c r="D149" s="1"/>
      <c r="E149" s="22"/>
      <c r="F149" s="22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467</v>
      </c>
      <c r="B150">
        <v>23</v>
      </c>
      <c r="C150">
        <v>6</v>
      </c>
      <c r="D150" s="1"/>
      <c r="E150" s="22"/>
      <c r="F150" s="22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468</v>
      </c>
      <c r="B151">
        <v>23</v>
      </c>
      <c r="C151">
        <v>6</v>
      </c>
      <c r="D151" s="1"/>
      <c r="E151" s="22"/>
      <c r="F151" s="22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469</v>
      </c>
      <c r="B152">
        <v>23</v>
      </c>
      <c r="C152">
        <v>6</v>
      </c>
      <c r="D152" s="1"/>
      <c r="E152" s="22"/>
      <c r="F152" s="22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470</v>
      </c>
      <c r="B153">
        <v>23</v>
      </c>
      <c r="C153">
        <v>13</v>
      </c>
      <c r="D153" s="1"/>
      <c r="E153" s="22"/>
      <c r="F153" s="22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471</v>
      </c>
      <c r="B154">
        <v>23</v>
      </c>
      <c r="C154">
        <v>5</v>
      </c>
      <c r="D154" s="1"/>
      <c r="E154" s="22"/>
      <c r="F154" s="22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472</v>
      </c>
      <c r="B155">
        <v>23</v>
      </c>
      <c r="C155">
        <v>6</v>
      </c>
      <c r="D155" s="1"/>
      <c r="E155" s="22"/>
      <c r="F155" s="22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473</v>
      </c>
      <c r="B156">
        <v>23</v>
      </c>
      <c r="C156">
        <v>6</v>
      </c>
      <c r="D156" s="1"/>
      <c r="E156" s="22"/>
      <c r="F156" s="22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474</v>
      </c>
      <c r="B157">
        <v>23</v>
      </c>
      <c r="C157">
        <v>6</v>
      </c>
      <c r="D157" s="1"/>
      <c r="E157" s="22"/>
      <c r="F157" s="22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475</v>
      </c>
      <c r="B158">
        <v>23</v>
      </c>
      <c r="C158">
        <v>12</v>
      </c>
      <c r="D158" s="1"/>
      <c r="E158" s="22"/>
      <c r="F158" s="22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476</v>
      </c>
      <c r="B159">
        <v>23</v>
      </c>
      <c r="C159">
        <v>6</v>
      </c>
      <c r="D159" s="1"/>
      <c r="E159" s="22"/>
      <c r="F159" s="22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477</v>
      </c>
      <c r="B160">
        <v>23</v>
      </c>
      <c r="C160">
        <v>6</v>
      </c>
      <c r="D160" s="1"/>
      <c r="E160" s="22"/>
      <c r="F160" s="22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478</v>
      </c>
      <c r="B161">
        <v>23</v>
      </c>
      <c r="C161">
        <v>5</v>
      </c>
      <c r="D161" s="1"/>
      <c r="E161" s="22"/>
      <c r="F161" s="22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479</v>
      </c>
      <c r="B162">
        <v>23</v>
      </c>
      <c r="C162">
        <v>6</v>
      </c>
      <c r="D162" s="1"/>
      <c r="E162" s="22"/>
      <c r="F162" s="22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480</v>
      </c>
      <c r="B163">
        <v>23</v>
      </c>
      <c r="C163">
        <v>6</v>
      </c>
      <c r="D163" s="1"/>
      <c r="E163" s="22"/>
      <c r="F163" s="22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481</v>
      </c>
      <c r="B164">
        <v>23</v>
      </c>
      <c r="C164">
        <v>13</v>
      </c>
      <c r="D164" s="1"/>
      <c r="E164" s="22"/>
      <c r="F164" s="22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482</v>
      </c>
      <c r="B165">
        <v>22</v>
      </c>
      <c r="C165">
        <v>6</v>
      </c>
      <c r="D165" s="1"/>
      <c r="E165" s="22"/>
      <c r="F165" s="22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483</v>
      </c>
      <c r="B166">
        <v>23</v>
      </c>
      <c r="C166">
        <v>6</v>
      </c>
      <c r="D166" s="1"/>
      <c r="E166" s="22"/>
      <c r="F166" s="22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484</v>
      </c>
      <c r="B167">
        <v>22</v>
      </c>
      <c r="C167">
        <v>13</v>
      </c>
      <c r="D167" s="1"/>
      <c r="E167" s="22"/>
      <c r="F167" s="22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485</v>
      </c>
      <c r="B168">
        <v>23</v>
      </c>
      <c r="C168">
        <v>6</v>
      </c>
      <c r="D168" s="1"/>
      <c r="E168" s="22"/>
      <c r="F168" s="22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486</v>
      </c>
      <c r="B169">
        <v>22</v>
      </c>
      <c r="C169">
        <v>6</v>
      </c>
      <c r="D169" s="1"/>
      <c r="E169" s="22"/>
      <c r="F169" s="22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487</v>
      </c>
      <c r="B170">
        <v>23</v>
      </c>
      <c r="C170">
        <v>13</v>
      </c>
      <c r="D170" s="1"/>
      <c r="E170" s="22"/>
      <c r="F170" s="22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488</v>
      </c>
      <c r="B171">
        <v>23</v>
      </c>
      <c r="C171">
        <v>6</v>
      </c>
      <c r="D171" s="9" t="s">
        <v>6</v>
      </c>
      <c r="E171" s="23"/>
      <c r="F171" s="23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489</v>
      </c>
      <c r="B172">
        <v>22</v>
      </c>
      <c r="C172">
        <v>10</v>
      </c>
      <c r="D172" s="9" t="s">
        <v>7</v>
      </c>
      <c r="E172" s="23"/>
      <c r="F172" s="23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490</v>
      </c>
      <c r="B173">
        <v>23</v>
      </c>
      <c r="C173">
        <v>6</v>
      </c>
      <c r="D173" s="9" t="s">
        <v>8</v>
      </c>
      <c r="E173" s="23"/>
      <c r="F173" s="23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491</v>
      </c>
      <c r="B174">
        <v>21</v>
      </c>
      <c r="C174">
        <v>6</v>
      </c>
      <c r="D174" s="9" t="s">
        <v>9</v>
      </c>
      <c r="E174" s="23"/>
      <c r="F174" s="23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492</v>
      </c>
      <c r="B175">
        <v>22</v>
      </c>
      <c r="C175">
        <v>13</v>
      </c>
      <c r="D175" s="9" t="s">
        <v>10</v>
      </c>
      <c r="E175" s="23"/>
      <c r="F175" s="23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493</v>
      </c>
      <c r="B176">
        <v>21</v>
      </c>
      <c r="C176">
        <v>6</v>
      </c>
      <c r="D176" s="9" t="s">
        <v>11</v>
      </c>
      <c r="E176" s="23"/>
      <c r="F176" s="23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494</v>
      </c>
      <c r="B177">
        <v>22</v>
      </c>
      <c r="C177">
        <v>6</v>
      </c>
      <c r="D177" s="9" t="s">
        <v>12</v>
      </c>
      <c r="E177" s="23"/>
      <c r="F177" s="23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495</v>
      </c>
      <c r="B178">
        <v>22</v>
      </c>
      <c r="C178">
        <v>13</v>
      </c>
      <c r="D178" s="9" t="s">
        <v>13</v>
      </c>
      <c r="E178" s="23"/>
      <c r="F178" s="23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496</v>
      </c>
      <c r="B179">
        <v>22</v>
      </c>
      <c r="C179">
        <v>4</v>
      </c>
      <c r="D179" s="9" t="s">
        <v>14</v>
      </c>
      <c r="E179" s="23"/>
      <c r="F179" s="23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497</v>
      </c>
      <c r="B180">
        <v>22</v>
      </c>
      <c r="C180">
        <v>6</v>
      </c>
      <c r="D180" s="9" t="s">
        <v>15</v>
      </c>
      <c r="E180" s="23"/>
      <c r="F180" s="23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498</v>
      </c>
      <c r="B181">
        <v>22</v>
      </c>
      <c r="C181">
        <v>13</v>
      </c>
      <c r="D181" s="9" t="s">
        <v>17</v>
      </c>
      <c r="E181" s="23"/>
      <c r="F181" s="23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499</v>
      </c>
      <c r="B182">
        <v>22</v>
      </c>
      <c r="C182">
        <v>6</v>
      </c>
      <c r="D182" s="9" t="s">
        <v>16</v>
      </c>
      <c r="E182" s="23"/>
      <c r="F182" s="23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500</v>
      </c>
      <c r="B183">
        <v>22</v>
      </c>
      <c r="C183">
        <v>6</v>
      </c>
      <c r="D183" s="9" t="s">
        <v>18</v>
      </c>
      <c r="E183" s="23"/>
      <c r="F183" s="23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501</v>
      </c>
      <c r="B184">
        <v>22</v>
      </c>
      <c r="C184">
        <v>13</v>
      </c>
      <c r="D184" s="9" t="s">
        <v>19</v>
      </c>
      <c r="E184" s="23"/>
      <c r="F184" s="23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502</v>
      </c>
      <c r="B185">
        <v>22</v>
      </c>
      <c r="C185">
        <v>6</v>
      </c>
      <c r="D185" s="9" t="s">
        <v>20</v>
      </c>
      <c r="E185" s="23"/>
      <c r="F185" s="23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503</v>
      </c>
      <c r="B186">
        <v>22</v>
      </c>
      <c r="C186">
        <v>6</v>
      </c>
      <c r="D186" s="9" t="s">
        <v>21</v>
      </c>
      <c r="E186" s="23"/>
      <c r="F186" s="23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504</v>
      </c>
      <c r="B187">
        <v>22</v>
      </c>
      <c r="C187">
        <v>13</v>
      </c>
      <c r="D187" s="9" t="s">
        <v>22</v>
      </c>
      <c r="E187" s="23"/>
      <c r="F187" s="23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505</v>
      </c>
      <c r="B188">
        <v>22</v>
      </c>
      <c r="C188">
        <v>6</v>
      </c>
      <c r="D188" s="9" t="s">
        <v>20</v>
      </c>
      <c r="E188" s="23"/>
      <c r="F188" s="23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506</v>
      </c>
      <c r="B189">
        <v>22</v>
      </c>
      <c r="C189">
        <v>6</v>
      </c>
      <c r="D189" s="9" t="s">
        <v>23</v>
      </c>
      <c r="E189" s="23"/>
      <c r="F189" s="23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507</v>
      </c>
      <c r="B190">
        <v>22</v>
      </c>
      <c r="C190">
        <v>6</v>
      </c>
      <c r="D190" s="9" t="s">
        <v>24</v>
      </c>
      <c r="E190" s="23"/>
      <c r="F190" s="23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508</v>
      </c>
      <c r="B191">
        <v>22</v>
      </c>
      <c r="C191">
        <v>6</v>
      </c>
      <c r="D191" s="9" t="s">
        <v>25</v>
      </c>
      <c r="E191" s="23"/>
      <c r="F191" s="23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509</v>
      </c>
      <c r="B192">
        <v>22</v>
      </c>
      <c r="C192">
        <v>8</v>
      </c>
      <c r="D192" s="9" t="s">
        <v>19</v>
      </c>
      <c r="E192" s="23"/>
      <c r="F192" s="23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510</v>
      </c>
      <c r="B193">
        <v>22</v>
      </c>
      <c r="C193">
        <v>4</v>
      </c>
      <c r="D193" s="9" t="s">
        <v>26</v>
      </c>
      <c r="E193" s="23"/>
      <c r="F193" s="23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511</v>
      </c>
      <c r="B194">
        <v>22</v>
      </c>
      <c r="C194">
        <v>4</v>
      </c>
      <c r="D194" s="9" t="s">
        <v>19</v>
      </c>
      <c r="E194" s="23"/>
      <c r="F194" s="23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512</v>
      </c>
      <c r="B195">
        <v>22</v>
      </c>
      <c r="C195">
        <v>13</v>
      </c>
      <c r="D195" s="9" t="s">
        <v>27</v>
      </c>
      <c r="E195" s="23"/>
      <c r="F195" s="23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513</v>
      </c>
      <c r="B196">
        <v>22</v>
      </c>
      <c r="C196">
        <v>6</v>
      </c>
      <c r="D196" s="9" t="s">
        <v>28</v>
      </c>
      <c r="E196" s="23"/>
      <c r="F196" s="23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514</v>
      </c>
      <c r="B197">
        <v>22</v>
      </c>
      <c r="C197">
        <v>10</v>
      </c>
      <c r="D197" s="9" t="s">
        <v>29</v>
      </c>
      <c r="E197" s="23"/>
      <c r="F197" s="23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515</v>
      </c>
      <c r="B198">
        <v>22</v>
      </c>
      <c r="C198">
        <v>6</v>
      </c>
      <c r="D198" s="9" t="s">
        <v>25</v>
      </c>
      <c r="E198" s="23"/>
      <c r="F198" s="23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516</v>
      </c>
      <c r="B199">
        <v>22</v>
      </c>
      <c r="C199">
        <v>6</v>
      </c>
      <c r="D199" s="9" t="s">
        <v>15</v>
      </c>
      <c r="E199" s="23"/>
      <c r="F199" s="23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517</v>
      </c>
      <c r="B200">
        <v>22</v>
      </c>
      <c r="C200">
        <v>13</v>
      </c>
      <c r="D200" s="9" t="s">
        <v>30</v>
      </c>
      <c r="E200" s="23"/>
      <c r="F200" s="23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518</v>
      </c>
      <c r="B201">
        <v>20</v>
      </c>
      <c r="C201">
        <v>6</v>
      </c>
      <c r="D201" s="9" t="s">
        <v>19</v>
      </c>
      <c r="E201" s="23"/>
      <c r="F201" s="23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519</v>
      </c>
      <c r="B202">
        <v>22</v>
      </c>
      <c r="C202">
        <v>6</v>
      </c>
      <c r="D202" s="9" t="s">
        <v>19</v>
      </c>
      <c r="E202" s="23"/>
      <c r="F202" s="23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520</v>
      </c>
      <c r="B203">
        <v>19</v>
      </c>
      <c r="C203">
        <v>13</v>
      </c>
      <c r="D203" s="9" t="s">
        <v>41</v>
      </c>
      <c r="E203" s="23"/>
      <c r="F203" s="23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521</v>
      </c>
      <c r="B204">
        <v>19</v>
      </c>
      <c r="C204">
        <v>6</v>
      </c>
      <c r="D204" s="9" t="s">
        <v>42</v>
      </c>
      <c r="E204" s="23"/>
      <c r="F204" s="23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522</v>
      </c>
      <c r="B205">
        <v>19</v>
      </c>
      <c r="C205">
        <v>6</v>
      </c>
      <c r="D205" s="9" t="s">
        <v>27</v>
      </c>
      <c r="E205" s="23"/>
      <c r="F205" s="23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523</v>
      </c>
      <c r="B206">
        <v>19</v>
      </c>
      <c r="C206">
        <v>13</v>
      </c>
      <c r="D206" s="9" t="s">
        <v>43</v>
      </c>
      <c r="E206" s="23"/>
      <c r="F206" s="23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524</v>
      </c>
      <c r="B207">
        <v>19</v>
      </c>
      <c r="C207">
        <v>6</v>
      </c>
      <c r="D207" s="9" t="s">
        <v>25</v>
      </c>
      <c r="E207" s="23"/>
      <c r="F207" s="23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525</v>
      </c>
      <c r="B208">
        <v>19</v>
      </c>
      <c r="C208">
        <v>6</v>
      </c>
      <c r="D208" s="9"/>
      <c r="E208" s="23"/>
      <c r="F208" s="23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526</v>
      </c>
      <c r="B209">
        <v>19</v>
      </c>
      <c r="C209">
        <v>13</v>
      </c>
      <c r="D209" s="9"/>
      <c r="E209" s="23"/>
      <c r="F209" s="23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527</v>
      </c>
      <c r="B210">
        <v>19</v>
      </c>
      <c r="C210">
        <v>6</v>
      </c>
      <c r="D210" s="9"/>
      <c r="E210" s="23"/>
      <c r="F210" s="23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528</v>
      </c>
      <c r="B211">
        <v>19</v>
      </c>
      <c r="C211">
        <v>6</v>
      </c>
      <c r="D211" s="9"/>
      <c r="E211" s="23"/>
      <c r="F211" s="23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529</v>
      </c>
      <c r="B212">
        <v>19</v>
      </c>
      <c r="C212">
        <v>13</v>
      </c>
      <c r="D212" s="9" t="s">
        <v>44</v>
      </c>
      <c r="E212" s="23"/>
      <c r="F212" s="23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530</v>
      </c>
      <c r="B213">
        <v>19</v>
      </c>
      <c r="C213">
        <v>6</v>
      </c>
      <c r="D213" s="9" t="s">
        <v>30</v>
      </c>
      <c r="E213" s="23"/>
      <c r="F213" s="23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531</v>
      </c>
      <c r="B214">
        <v>19</v>
      </c>
      <c r="C214">
        <v>6</v>
      </c>
      <c r="D214" s="9"/>
      <c r="E214" s="23"/>
      <c r="F214" s="23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532</v>
      </c>
      <c r="B215">
        <v>19</v>
      </c>
      <c r="C215">
        <v>13</v>
      </c>
      <c r="D215" s="9" t="s">
        <v>45</v>
      </c>
      <c r="E215" s="23"/>
      <c r="F215" s="23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533</v>
      </c>
      <c r="B216">
        <v>19</v>
      </c>
      <c r="C216">
        <v>6</v>
      </c>
      <c r="D216" s="9"/>
      <c r="E216" s="23"/>
      <c r="F216" s="23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534</v>
      </c>
      <c r="B217">
        <v>22</v>
      </c>
      <c r="C217">
        <v>6</v>
      </c>
      <c r="D217" s="9" t="s">
        <v>46</v>
      </c>
      <c r="E217" s="23"/>
      <c r="F217" s="23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535</v>
      </c>
      <c r="B218">
        <v>19</v>
      </c>
      <c r="C218">
        <v>13</v>
      </c>
      <c r="D218" s="9" t="s">
        <v>41</v>
      </c>
      <c r="E218" s="23"/>
      <c r="F218" s="23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536</v>
      </c>
      <c r="B219">
        <v>19</v>
      </c>
      <c r="C219">
        <v>4</v>
      </c>
      <c r="D219" s="9" t="s">
        <v>47</v>
      </c>
      <c r="E219" s="23"/>
      <c r="F219" s="23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537</v>
      </c>
      <c r="B220">
        <v>19</v>
      </c>
      <c r="C220">
        <v>6</v>
      </c>
      <c r="D220" s="9" t="s">
        <v>48</v>
      </c>
      <c r="E220" s="23"/>
      <c r="F220" s="23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538</v>
      </c>
      <c r="B221">
        <v>19</v>
      </c>
      <c r="C221">
        <v>13</v>
      </c>
      <c r="D221" s="9" t="s">
        <v>49</v>
      </c>
      <c r="E221" s="23"/>
      <c r="F221" s="23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539</v>
      </c>
      <c r="B222">
        <v>19</v>
      </c>
      <c r="C222">
        <v>6</v>
      </c>
      <c r="D222" s="9" t="s">
        <v>50</v>
      </c>
      <c r="E222" s="23"/>
      <c r="F222" s="23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540</v>
      </c>
      <c r="B223">
        <v>19</v>
      </c>
      <c r="C223">
        <v>6</v>
      </c>
      <c r="D223" s="9" t="s">
        <v>16</v>
      </c>
      <c r="E223" s="23"/>
      <c r="F223" s="23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541</v>
      </c>
      <c r="B224">
        <v>19</v>
      </c>
      <c r="C224">
        <v>13</v>
      </c>
      <c r="D224" s="9" t="s">
        <v>51</v>
      </c>
      <c r="E224" s="23"/>
      <c r="F224" s="23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542</v>
      </c>
      <c r="B225">
        <v>19</v>
      </c>
      <c r="C225">
        <v>13</v>
      </c>
      <c r="D225" s="9" t="s">
        <v>52</v>
      </c>
      <c r="E225" s="23"/>
      <c r="F225" s="23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543</v>
      </c>
      <c r="B226">
        <v>19</v>
      </c>
      <c r="C226">
        <v>6</v>
      </c>
      <c r="D226" s="9" t="s">
        <v>53</v>
      </c>
      <c r="E226" s="23"/>
      <c r="F226" s="23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544</v>
      </c>
      <c r="B227">
        <v>19</v>
      </c>
      <c r="C227">
        <v>6</v>
      </c>
      <c r="D227" s="9" t="s">
        <v>54</v>
      </c>
      <c r="E227" s="23"/>
      <c r="F227" s="23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545</v>
      </c>
      <c r="B228">
        <v>19</v>
      </c>
      <c r="C228">
        <v>13</v>
      </c>
      <c r="D228" s="9" t="s">
        <v>55</v>
      </c>
      <c r="E228" s="23"/>
      <c r="F228" s="23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546</v>
      </c>
      <c r="B229">
        <v>19</v>
      </c>
      <c r="C229">
        <v>6</v>
      </c>
      <c r="D229" s="9" t="s">
        <v>20</v>
      </c>
      <c r="E229" s="23"/>
      <c r="F229" s="23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547</v>
      </c>
      <c r="B230">
        <v>19</v>
      </c>
      <c r="C230">
        <v>6</v>
      </c>
      <c r="D230" s="9" t="s">
        <v>56</v>
      </c>
      <c r="E230" s="23"/>
      <c r="F230" s="23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548</v>
      </c>
      <c r="B231">
        <v>19</v>
      </c>
      <c r="C231">
        <v>13</v>
      </c>
      <c r="D231" s="9"/>
      <c r="E231" s="23"/>
      <c r="F231" s="23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549</v>
      </c>
      <c r="B232">
        <v>19</v>
      </c>
      <c r="C232">
        <v>6</v>
      </c>
      <c r="D232" s="9" t="s">
        <v>16</v>
      </c>
      <c r="E232" s="23"/>
      <c r="F232" s="23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550</v>
      </c>
      <c r="B233">
        <v>19</v>
      </c>
      <c r="C233">
        <v>6</v>
      </c>
      <c r="D233" s="9" t="s">
        <v>25</v>
      </c>
      <c r="E233" s="23"/>
      <c r="F233" s="23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551</v>
      </c>
      <c r="B234">
        <v>19</v>
      </c>
      <c r="C234">
        <v>13</v>
      </c>
      <c r="D234" s="9" t="s">
        <v>29</v>
      </c>
      <c r="E234" s="23"/>
      <c r="F234" s="23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552</v>
      </c>
      <c r="B235">
        <v>19</v>
      </c>
      <c r="C235">
        <v>6</v>
      </c>
      <c r="D235" s="9" t="s">
        <v>26</v>
      </c>
      <c r="E235" s="23"/>
      <c r="F235" s="23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553</v>
      </c>
      <c r="B236">
        <v>19</v>
      </c>
      <c r="C236">
        <v>6</v>
      </c>
      <c r="D236" s="9" t="s">
        <v>49</v>
      </c>
      <c r="E236" s="23"/>
      <c r="F236" s="23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554</v>
      </c>
      <c r="B237">
        <v>19</v>
      </c>
      <c r="C237">
        <v>12</v>
      </c>
      <c r="D237" s="9" t="s">
        <v>57</v>
      </c>
      <c r="E237" s="23"/>
      <c r="F237" s="23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555</v>
      </c>
      <c r="B238">
        <v>19</v>
      </c>
      <c r="C238">
        <v>6</v>
      </c>
      <c r="D238" s="9" t="s">
        <v>58</v>
      </c>
      <c r="E238" s="23"/>
      <c r="F238" s="23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556</v>
      </c>
      <c r="B239">
        <v>18</v>
      </c>
      <c r="C239">
        <v>6</v>
      </c>
      <c r="D239" s="9" t="s">
        <v>61</v>
      </c>
      <c r="E239" s="23"/>
      <c r="F239" s="23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557</v>
      </c>
      <c r="B240">
        <v>18</v>
      </c>
      <c r="C240">
        <v>13</v>
      </c>
      <c r="D240" s="9" t="s">
        <v>58</v>
      </c>
      <c r="E240" s="23"/>
      <c r="F240" s="23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558</v>
      </c>
      <c r="B241">
        <v>18</v>
      </c>
      <c r="C241">
        <v>5</v>
      </c>
      <c r="D241" s="9" t="s">
        <v>61</v>
      </c>
      <c r="E241" s="23"/>
      <c r="F241" s="23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559</v>
      </c>
      <c r="B242">
        <v>18</v>
      </c>
      <c r="C242">
        <v>6</v>
      </c>
      <c r="D242" s="9" t="s">
        <v>63</v>
      </c>
      <c r="E242" s="23"/>
      <c r="F242" s="23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560</v>
      </c>
      <c r="B243">
        <v>18</v>
      </c>
      <c r="C243">
        <v>13</v>
      </c>
      <c r="D243" s="9" t="s">
        <v>62</v>
      </c>
      <c r="E243" s="23"/>
      <c r="F243" s="23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561</v>
      </c>
      <c r="B244">
        <v>18</v>
      </c>
      <c r="C244">
        <v>6</v>
      </c>
      <c r="D244" s="9" t="s">
        <v>64</v>
      </c>
      <c r="E244" s="23"/>
      <c r="F244" s="23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562</v>
      </c>
      <c r="B245">
        <v>18</v>
      </c>
      <c r="C245">
        <v>6</v>
      </c>
      <c r="D245" s="9" t="s">
        <v>15</v>
      </c>
      <c r="E245" s="23"/>
      <c r="F245" s="23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563</v>
      </c>
      <c r="B246">
        <v>18</v>
      </c>
      <c r="C246">
        <v>13</v>
      </c>
      <c r="D246" s="9" t="s">
        <v>10</v>
      </c>
      <c r="E246" s="23"/>
      <c r="F246" s="23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564</v>
      </c>
      <c r="B247">
        <v>18</v>
      </c>
      <c r="C247">
        <v>6</v>
      </c>
      <c r="D247" s="9" t="s">
        <v>65</v>
      </c>
      <c r="E247" s="23"/>
      <c r="F247" s="23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565</v>
      </c>
      <c r="B248">
        <v>18</v>
      </c>
      <c r="C248">
        <v>6</v>
      </c>
      <c r="D248" s="9"/>
      <c r="E248" s="23"/>
      <c r="F248" s="23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566</v>
      </c>
      <c r="B249">
        <v>18</v>
      </c>
      <c r="C249">
        <v>12</v>
      </c>
      <c r="D249" s="9"/>
      <c r="E249" s="23"/>
      <c r="F249" s="23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567</v>
      </c>
      <c r="B250">
        <v>18</v>
      </c>
      <c r="C250">
        <v>6</v>
      </c>
      <c r="D250" s="9" t="s">
        <v>20</v>
      </c>
      <c r="E250" s="23"/>
      <c r="F250" s="23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568</v>
      </c>
      <c r="B251">
        <v>18</v>
      </c>
      <c r="C251">
        <v>6</v>
      </c>
      <c r="D251" s="9" t="s">
        <v>51</v>
      </c>
      <c r="E251" s="23"/>
      <c r="F251" s="23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569</v>
      </c>
      <c r="B252">
        <v>18</v>
      </c>
      <c r="C252">
        <v>13</v>
      </c>
      <c r="D252" s="9" t="s">
        <v>17</v>
      </c>
      <c r="E252" s="23"/>
      <c r="F252" s="23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570</v>
      </c>
      <c r="B253">
        <v>18</v>
      </c>
      <c r="C253">
        <v>6</v>
      </c>
      <c r="D253" s="9" t="s">
        <v>66</v>
      </c>
      <c r="E253" s="23"/>
      <c r="F253" s="23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571</v>
      </c>
      <c r="B254">
        <v>18</v>
      </c>
      <c r="C254">
        <v>10</v>
      </c>
      <c r="D254" s="9" t="s">
        <v>21</v>
      </c>
      <c r="E254" s="23"/>
      <c r="F254" s="23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572</v>
      </c>
      <c r="B255">
        <v>18</v>
      </c>
      <c r="C255">
        <v>4</v>
      </c>
      <c r="D255" s="9"/>
      <c r="E255" s="23"/>
      <c r="F255" s="23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573</v>
      </c>
      <c r="B256">
        <v>18</v>
      </c>
      <c r="C256">
        <v>10</v>
      </c>
      <c r="D256" s="9" t="s">
        <v>29</v>
      </c>
      <c r="E256" s="23"/>
      <c r="F256" s="23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574</v>
      </c>
      <c r="B257">
        <v>18</v>
      </c>
      <c r="C257">
        <v>6</v>
      </c>
      <c r="D257" s="9" t="s">
        <v>67</v>
      </c>
      <c r="E257" s="23"/>
      <c r="F257" s="23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575</v>
      </c>
      <c r="B258">
        <v>18</v>
      </c>
      <c r="C258">
        <v>10</v>
      </c>
      <c r="D258" s="9" t="s">
        <v>19</v>
      </c>
      <c r="E258" s="23"/>
      <c r="F258" s="23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576</v>
      </c>
      <c r="B259">
        <v>18</v>
      </c>
      <c r="C259">
        <v>6</v>
      </c>
      <c r="D259" s="9" t="s">
        <v>68</v>
      </c>
      <c r="E259" s="23"/>
      <c r="F259" s="23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577</v>
      </c>
      <c r="B260">
        <v>18</v>
      </c>
      <c r="C260">
        <v>10</v>
      </c>
      <c r="D260" s="9" t="s">
        <v>69</v>
      </c>
      <c r="E260" s="23"/>
      <c r="F260" s="23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578</v>
      </c>
      <c r="B261">
        <v>18</v>
      </c>
      <c r="C261">
        <v>6</v>
      </c>
      <c r="D261" s="9" t="s">
        <v>70</v>
      </c>
      <c r="E261" s="23"/>
      <c r="F261" s="23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579</v>
      </c>
      <c r="B262">
        <v>18</v>
      </c>
      <c r="C262">
        <v>6</v>
      </c>
      <c r="D262" s="9" t="s">
        <v>71</v>
      </c>
      <c r="E262" s="23"/>
      <c r="F262" s="23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580</v>
      </c>
      <c r="B263">
        <v>17</v>
      </c>
      <c r="C263">
        <v>6</v>
      </c>
      <c r="D263" s="9" t="s">
        <v>73</v>
      </c>
      <c r="E263" s="23"/>
      <c r="F263" s="23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581</v>
      </c>
      <c r="B264">
        <v>18</v>
      </c>
      <c r="C264">
        <v>13</v>
      </c>
      <c r="D264" s="9" t="s">
        <v>26</v>
      </c>
      <c r="E264" s="23"/>
      <c r="F264" s="23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582</v>
      </c>
      <c r="B265">
        <v>17</v>
      </c>
      <c r="C265">
        <v>6</v>
      </c>
      <c r="D265" s="9" t="s">
        <v>10</v>
      </c>
      <c r="E265" s="23"/>
      <c r="F265" s="23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583</v>
      </c>
      <c r="B266">
        <v>18</v>
      </c>
      <c r="C266">
        <v>6</v>
      </c>
      <c r="D266" s="9" t="s">
        <v>18</v>
      </c>
      <c r="E266" s="23"/>
      <c r="F266" s="23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584</v>
      </c>
      <c r="B267">
        <v>17</v>
      </c>
      <c r="C267">
        <v>6</v>
      </c>
      <c r="D267" s="9" t="s">
        <v>55</v>
      </c>
      <c r="E267" s="23"/>
      <c r="F267" s="23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585</v>
      </c>
      <c r="B268">
        <v>17</v>
      </c>
      <c r="C268">
        <v>10</v>
      </c>
      <c r="D268" s="9" t="s">
        <v>74</v>
      </c>
      <c r="E268" s="23"/>
      <c r="F268" s="23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586</v>
      </c>
      <c r="B269">
        <v>18</v>
      </c>
      <c r="C269">
        <v>6</v>
      </c>
      <c r="D269" s="9" t="s">
        <v>55</v>
      </c>
      <c r="E269" s="23"/>
      <c r="F269" s="23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587</v>
      </c>
      <c r="B270">
        <v>17</v>
      </c>
      <c r="C270">
        <v>6</v>
      </c>
      <c r="D270" s="9" t="s">
        <v>75</v>
      </c>
      <c r="E270" s="23"/>
      <c r="F270" s="23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588</v>
      </c>
      <c r="B271">
        <v>18</v>
      </c>
      <c r="C271">
        <v>6</v>
      </c>
      <c r="D271" s="9" t="s">
        <v>29</v>
      </c>
      <c r="E271" s="23"/>
      <c r="F271" s="23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589</v>
      </c>
      <c r="B272">
        <v>17</v>
      </c>
      <c r="C272">
        <v>13</v>
      </c>
      <c r="D272" s="9" t="s">
        <v>76</v>
      </c>
      <c r="E272" s="23"/>
      <c r="F272" s="23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590</v>
      </c>
      <c r="B273">
        <v>18</v>
      </c>
      <c r="C273">
        <v>6</v>
      </c>
      <c r="D273" s="9" t="s">
        <v>77</v>
      </c>
      <c r="E273" s="23"/>
      <c r="F273" s="23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591</v>
      </c>
      <c r="B274">
        <v>17</v>
      </c>
      <c r="C274">
        <v>6</v>
      </c>
      <c r="D274" s="9" t="s">
        <v>78</v>
      </c>
      <c r="E274" s="23"/>
      <c r="F274" s="23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592</v>
      </c>
      <c r="B275">
        <v>18</v>
      </c>
      <c r="C275">
        <v>6</v>
      </c>
      <c r="D275" s="9" t="s">
        <v>79</v>
      </c>
      <c r="E275" s="23"/>
      <c r="F275" s="23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593</v>
      </c>
      <c r="B276">
        <v>17</v>
      </c>
      <c r="C276">
        <v>13</v>
      </c>
      <c r="D276" s="9" t="s">
        <v>80</v>
      </c>
      <c r="E276" s="23"/>
      <c r="F276" s="23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594</v>
      </c>
      <c r="B277">
        <v>17</v>
      </c>
      <c r="C277">
        <v>6</v>
      </c>
      <c r="D277" s="9" t="s">
        <v>79</v>
      </c>
      <c r="E277" s="23"/>
      <c r="F277" s="23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595</v>
      </c>
      <c r="B278">
        <v>17</v>
      </c>
      <c r="C278">
        <v>6</v>
      </c>
      <c r="D278" s="9" t="s">
        <v>81</v>
      </c>
      <c r="E278" s="23"/>
      <c r="F278" s="23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596</v>
      </c>
      <c r="B279">
        <v>17</v>
      </c>
      <c r="C279">
        <v>13</v>
      </c>
      <c r="D279" s="9" t="s">
        <v>41</v>
      </c>
      <c r="E279" s="23"/>
      <c r="F279" s="23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597</v>
      </c>
      <c r="B280">
        <v>17</v>
      </c>
      <c r="C280">
        <v>6</v>
      </c>
      <c r="D280" s="9" t="s">
        <v>82</v>
      </c>
      <c r="E280" s="23"/>
      <c r="F280" s="23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598</v>
      </c>
      <c r="B281">
        <v>17</v>
      </c>
      <c r="C281">
        <v>6</v>
      </c>
      <c r="D281" s="9" t="s">
        <v>7</v>
      </c>
      <c r="E281" s="23"/>
      <c r="F281" s="23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599</v>
      </c>
      <c r="B282">
        <v>17</v>
      </c>
      <c r="C282">
        <v>6</v>
      </c>
      <c r="D282" s="9" t="s">
        <v>83</v>
      </c>
      <c r="E282" s="23"/>
      <c r="F282" s="23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600</v>
      </c>
      <c r="B283">
        <v>17</v>
      </c>
      <c r="C283">
        <v>13</v>
      </c>
      <c r="D283" s="9" t="s">
        <v>42</v>
      </c>
      <c r="E283" s="23"/>
      <c r="F283" s="23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601</v>
      </c>
      <c r="B284">
        <v>17</v>
      </c>
      <c r="C284">
        <v>6</v>
      </c>
      <c r="D284" s="9" t="s">
        <v>84</v>
      </c>
      <c r="E284" s="23"/>
      <c r="F284" s="23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602</v>
      </c>
      <c r="B285">
        <v>17</v>
      </c>
      <c r="C285">
        <v>6</v>
      </c>
      <c r="D285" s="9" t="s">
        <v>85</v>
      </c>
      <c r="E285" s="23"/>
      <c r="F285" s="23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603</v>
      </c>
      <c r="B286">
        <v>17</v>
      </c>
      <c r="C286">
        <v>6</v>
      </c>
      <c r="D286" s="9" t="s">
        <v>77</v>
      </c>
      <c r="E286" s="23"/>
      <c r="F286" s="23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604</v>
      </c>
      <c r="B287">
        <v>17</v>
      </c>
      <c r="C287">
        <v>13</v>
      </c>
      <c r="D287" s="9" t="s">
        <v>55</v>
      </c>
      <c r="E287" s="23"/>
      <c r="F287" s="23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605</v>
      </c>
      <c r="B288">
        <v>17</v>
      </c>
      <c r="C288">
        <v>5</v>
      </c>
      <c r="D288" s="9" t="s">
        <v>86</v>
      </c>
      <c r="E288" s="23"/>
      <c r="F288" s="23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606</v>
      </c>
      <c r="B289">
        <v>17</v>
      </c>
      <c r="C289">
        <v>6</v>
      </c>
      <c r="D289" s="9" t="s">
        <v>87</v>
      </c>
      <c r="E289" s="23"/>
      <c r="F289" s="23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607</v>
      </c>
      <c r="B290">
        <v>17</v>
      </c>
      <c r="C290">
        <v>10</v>
      </c>
      <c r="D290" s="9" t="s">
        <v>75</v>
      </c>
      <c r="E290" s="23"/>
      <c r="F290" s="23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608</v>
      </c>
      <c r="B291">
        <v>17</v>
      </c>
      <c r="C291">
        <v>6</v>
      </c>
      <c r="D291" s="9" t="s">
        <v>15</v>
      </c>
      <c r="E291" s="23"/>
      <c r="F291" s="23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609</v>
      </c>
      <c r="B292">
        <v>17</v>
      </c>
      <c r="C292">
        <v>6</v>
      </c>
      <c r="D292" s="9" t="s">
        <v>88</v>
      </c>
      <c r="E292" s="23"/>
      <c r="F292" s="23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610</v>
      </c>
      <c r="B293">
        <v>17</v>
      </c>
      <c r="C293">
        <v>6</v>
      </c>
      <c r="D293" s="9" t="s">
        <v>89</v>
      </c>
      <c r="E293" s="23"/>
      <c r="F293" s="23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611</v>
      </c>
      <c r="B294">
        <v>17</v>
      </c>
      <c r="C294">
        <v>8</v>
      </c>
      <c r="D294" s="9" t="s">
        <v>23</v>
      </c>
      <c r="E294" s="23"/>
      <c r="F294" s="23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612</v>
      </c>
      <c r="B295">
        <v>17</v>
      </c>
      <c r="C295">
        <v>4</v>
      </c>
      <c r="D295" s="9" t="s">
        <v>46</v>
      </c>
      <c r="E295" s="23"/>
      <c r="F295" s="23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613</v>
      </c>
      <c r="B296">
        <v>17</v>
      </c>
      <c r="C296">
        <v>4</v>
      </c>
      <c r="D296" s="9" t="s">
        <v>25</v>
      </c>
      <c r="E296" s="23"/>
      <c r="F296" s="23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614</v>
      </c>
      <c r="B297">
        <v>17</v>
      </c>
      <c r="C297">
        <v>3</v>
      </c>
      <c r="D297" s="9" t="s">
        <v>21</v>
      </c>
      <c r="E297" s="23"/>
      <c r="F297" s="23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615</v>
      </c>
      <c r="B298">
        <v>17</v>
      </c>
      <c r="C298">
        <v>13</v>
      </c>
      <c r="D298" s="9" t="s">
        <v>88</v>
      </c>
      <c r="E298" s="23"/>
      <c r="F298" s="23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616</v>
      </c>
      <c r="B299">
        <v>17</v>
      </c>
      <c r="C299">
        <v>6</v>
      </c>
      <c r="D299" s="9" t="s">
        <v>46</v>
      </c>
      <c r="E299" s="23"/>
      <c r="F299" s="23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617</v>
      </c>
      <c r="B300">
        <v>17</v>
      </c>
      <c r="C300">
        <v>6</v>
      </c>
      <c r="D300" s="9" t="s">
        <v>10</v>
      </c>
      <c r="E300" s="23"/>
      <c r="F300" s="23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618</v>
      </c>
      <c r="B301">
        <v>17</v>
      </c>
      <c r="C301">
        <v>6</v>
      </c>
      <c r="D301" s="9" t="s">
        <v>53</v>
      </c>
      <c r="E301" s="23"/>
      <c r="F301" s="23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619</v>
      </c>
      <c r="B302">
        <v>16</v>
      </c>
      <c r="C302">
        <v>7</v>
      </c>
      <c r="D302" s="9" t="s">
        <v>90</v>
      </c>
      <c r="E302" s="23"/>
      <c r="F302" s="23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620</v>
      </c>
      <c r="B303">
        <v>15</v>
      </c>
      <c r="C303">
        <v>6</v>
      </c>
      <c r="D303" s="9" t="s">
        <v>92</v>
      </c>
      <c r="E303" s="23"/>
      <c r="F303" s="23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621</v>
      </c>
      <c r="B304">
        <v>15</v>
      </c>
      <c r="C304">
        <v>6</v>
      </c>
      <c r="D304" s="9" t="s">
        <v>87</v>
      </c>
      <c r="E304" s="23"/>
      <c r="F304" s="23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622</v>
      </c>
      <c r="B305">
        <v>16</v>
      </c>
      <c r="C305">
        <v>6</v>
      </c>
      <c r="D305" s="9" t="s">
        <v>70</v>
      </c>
      <c r="E305" s="23"/>
      <c r="F305" s="23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623</v>
      </c>
      <c r="B306">
        <v>17</v>
      </c>
      <c r="C306">
        <v>6</v>
      </c>
      <c r="D306" s="9" t="s">
        <v>94</v>
      </c>
      <c r="E306" s="23"/>
      <c r="F306" s="23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624</v>
      </c>
      <c r="B307">
        <v>14</v>
      </c>
      <c r="C307">
        <v>6</v>
      </c>
      <c r="D307" s="9" t="s">
        <v>63</v>
      </c>
      <c r="E307" s="23"/>
      <c r="F307" s="23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625</v>
      </c>
      <c r="B308">
        <v>17</v>
      </c>
      <c r="C308">
        <v>13</v>
      </c>
      <c r="D308" s="9" t="s">
        <v>46</v>
      </c>
      <c r="E308" s="23"/>
      <c r="F308" s="23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626</v>
      </c>
      <c r="B309">
        <v>16</v>
      </c>
      <c r="C309">
        <v>6</v>
      </c>
      <c r="D309" s="9" t="s">
        <v>97</v>
      </c>
      <c r="E309" s="23"/>
      <c r="F309" s="23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627</v>
      </c>
      <c r="B310">
        <v>16</v>
      </c>
      <c r="C310">
        <v>6</v>
      </c>
      <c r="D310" s="9" t="s">
        <v>98</v>
      </c>
      <c r="E310" s="23"/>
      <c r="F310" s="23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628</v>
      </c>
      <c r="B311">
        <v>16</v>
      </c>
      <c r="C311">
        <v>10</v>
      </c>
      <c r="D311" s="9" t="s">
        <v>54</v>
      </c>
      <c r="E311" s="23"/>
      <c r="F311" s="23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629</v>
      </c>
      <c r="B312">
        <v>16</v>
      </c>
      <c r="C312">
        <v>10</v>
      </c>
      <c r="D312" s="9" t="s">
        <v>99</v>
      </c>
      <c r="E312" s="23"/>
      <c r="F312" s="23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630</v>
      </c>
      <c r="B313">
        <v>16</v>
      </c>
      <c r="C313">
        <v>10</v>
      </c>
      <c r="D313" s="9" t="s">
        <v>100</v>
      </c>
      <c r="E313" s="23"/>
      <c r="F313" s="23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631</v>
      </c>
      <c r="B314">
        <v>16</v>
      </c>
      <c r="C314">
        <v>5</v>
      </c>
      <c r="D314" s="9" t="s">
        <v>54</v>
      </c>
      <c r="E314" s="23"/>
      <c r="F314" s="23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632</v>
      </c>
      <c r="B315">
        <v>16</v>
      </c>
      <c r="C315">
        <v>6</v>
      </c>
      <c r="D315" s="9" t="s">
        <v>101</v>
      </c>
      <c r="E315" s="23"/>
      <c r="F315" s="23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633</v>
      </c>
      <c r="B316">
        <v>16</v>
      </c>
      <c r="C316">
        <v>10</v>
      </c>
      <c r="D316" s="9" t="s">
        <v>51</v>
      </c>
      <c r="E316" s="23"/>
      <c r="F316" s="23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634</v>
      </c>
      <c r="B317">
        <v>16</v>
      </c>
      <c r="C317">
        <v>10</v>
      </c>
      <c r="D317" s="9" t="s">
        <v>62</v>
      </c>
      <c r="E317" s="23"/>
      <c r="F317" s="23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635</v>
      </c>
      <c r="B318">
        <v>16</v>
      </c>
      <c r="C318">
        <v>4</v>
      </c>
      <c r="D318" s="9"/>
      <c r="E318" s="23"/>
      <c r="F318" s="23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636</v>
      </c>
      <c r="B319">
        <v>16</v>
      </c>
      <c r="C319">
        <v>6</v>
      </c>
      <c r="D319" s="9" t="s">
        <v>55</v>
      </c>
      <c r="E319" s="23"/>
      <c r="F319" s="23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637</v>
      </c>
      <c r="B320">
        <v>16</v>
      </c>
      <c r="C320">
        <v>6</v>
      </c>
      <c r="D320" s="9" t="s">
        <v>101</v>
      </c>
      <c r="E320" s="23"/>
      <c r="F320" s="23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637</v>
      </c>
      <c r="B321">
        <v>16</v>
      </c>
      <c r="C321">
        <v>4</v>
      </c>
      <c r="D321" s="9" t="s">
        <v>102</v>
      </c>
      <c r="E321" s="23"/>
      <c r="F321" s="23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638</v>
      </c>
      <c r="B322">
        <v>16</v>
      </c>
      <c r="C322">
        <v>6</v>
      </c>
      <c r="D322" s="9" t="s">
        <v>103</v>
      </c>
      <c r="E322" s="23"/>
      <c r="F322" s="23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639</v>
      </c>
      <c r="B323">
        <v>16</v>
      </c>
      <c r="C323">
        <v>10</v>
      </c>
      <c r="D323" s="9" t="s">
        <v>11</v>
      </c>
      <c r="E323" s="23"/>
      <c r="F323" s="23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640</v>
      </c>
      <c r="B324">
        <v>16</v>
      </c>
      <c r="C324">
        <v>10</v>
      </c>
      <c r="D324" s="9" t="s">
        <v>104</v>
      </c>
      <c r="E324" s="23"/>
      <c r="F324" s="23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641</v>
      </c>
      <c r="B325">
        <v>16</v>
      </c>
      <c r="C325">
        <v>6</v>
      </c>
      <c r="D325" s="9" t="s">
        <v>105</v>
      </c>
      <c r="E325" s="23"/>
      <c r="F325" s="23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642</v>
      </c>
      <c r="B326">
        <v>16</v>
      </c>
      <c r="C326">
        <v>5</v>
      </c>
      <c r="D326" s="9" t="s">
        <v>28</v>
      </c>
      <c r="E326" s="23"/>
      <c r="F326" s="23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643</v>
      </c>
      <c r="B327">
        <v>16</v>
      </c>
      <c r="C327">
        <v>6</v>
      </c>
      <c r="D327" s="9" t="s">
        <v>106</v>
      </c>
      <c r="E327" s="23"/>
      <c r="F327" s="23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644</v>
      </c>
      <c r="B328">
        <v>16</v>
      </c>
      <c r="C328">
        <v>6</v>
      </c>
      <c r="D328" s="9" t="s">
        <v>107</v>
      </c>
      <c r="E328" s="23"/>
      <c r="F328" s="23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644</v>
      </c>
      <c r="B329">
        <v>16</v>
      </c>
      <c r="C329">
        <v>5</v>
      </c>
      <c r="D329" s="9" t="s">
        <v>108</v>
      </c>
      <c r="E329" s="23"/>
      <c r="F329" s="23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645</v>
      </c>
      <c r="B330">
        <v>16</v>
      </c>
      <c r="C330">
        <v>10</v>
      </c>
      <c r="D330" s="9" t="s">
        <v>61</v>
      </c>
      <c r="E330" s="23"/>
      <c r="F330" s="23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646</v>
      </c>
      <c r="B331">
        <v>16</v>
      </c>
      <c r="C331">
        <v>10</v>
      </c>
      <c r="D331" s="9" t="s">
        <v>109</v>
      </c>
      <c r="E331" s="23"/>
      <c r="F331" s="23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647</v>
      </c>
      <c r="B332">
        <v>16</v>
      </c>
      <c r="C332">
        <v>6</v>
      </c>
      <c r="D332" s="9" t="s">
        <v>103</v>
      </c>
      <c r="E332" s="23"/>
      <c r="F332" s="23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647</v>
      </c>
      <c r="B333">
        <v>16</v>
      </c>
      <c r="C333">
        <v>5</v>
      </c>
      <c r="D333" s="9" t="s">
        <v>65</v>
      </c>
      <c r="E333" s="23"/>
      <c r="F333" s="23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648</v>
      </c>
      <c r="B334">
        <v>16</v>
      </c>
      <c r="C334">
        <v>5</v>
      </c>
      <c r="D334" s="9" t="s">
        <v>110</v>
      </c>
      <c r="E334" s="23"/>
      <c r="F334" s="23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649</v>
      </c>
      <c r="B335">
        <v>13</v>
      </c>
      <c r="C335">
        <v>11</v>
      </c>
      <c r="D335" s="9" t="s">
        <v>109</v>
      </c>
      <c r="E335" s="23"/>
      <c r="F335" s="23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650</v>
      </c>
      <c r="B336">
        <v>13</v>
      </c>
      <c r="C336">
        <v>5</v>
      </c>
      <c r="D336" s="9" t="s">
        <v>112</v>
      </c>
      <c r="E336" s="23"/>
      <c r="F336" s="23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651</v>
      </c>
      <c r="B337">
        <v>13</v>
      </c>
      <c r="C337">
        <v>6</v>
      </c>
      <c r="D337" s="9" t="s">
        <v>106</v>
      </c>
      <c r="E337" s="23"/>
      <c r="F337" s="23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652</v>
      </c>
      <c r="B338">
        <v>13</v>
      </c>
      <c r="C338">
        <v>6</v>
      </c>
      <c r="D338" s="9" t="s">
        <v>18</v>
      </c>
      <c r="E338" s="23"/>
      <c r="F338" s="23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653</v>
      </c>
      <c r="B339">
        <v>13</v>
      </c>
      <c r="C339">
        <v>11</v>
      </c>
      <c r="D339" s="9" t="s">
        <v>99</v>
      </c>
      <c r="E339" s="23"/>
      <c r="F339" s="23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654</v>
      </c>
      <c r="B340">
        <v>13</v>
      </c>
      <c r="C340">
        <v>6</v>
      </c>
      <c r="D340" s="9" t="s">
        <v>103</v>
      </c>
      <c r="E340" s="23"/>
      <c r="F340" s="23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655</v>
      </c>
      <c r="B341">
        <v>13</v>
      </c>
      <c r="C341">
        <v>6</v>
      </c>
      <c r="D341" s="9" t="s">
        <v>113</v>
      </c>
      <c r="E341" s="23"/>
      <c r="F341" s="23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656</v>
      </c>
      <c r="B342">
        <v>13</v>
      </c>
      <c r="C342">
        <v>6</v>
      </c>
      <c r="D342" s="9" t="s">
        <v>114</v>
      </c>
      <c r="E342" s="23"/>
      <c r="F342" s="23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657</v>
      </c>
      <c r="B343">
        <v>13</v>
      </c>
      <c r="C343">
        <v>6</v>
      </c>
      <c r="D343" s="9" t="s">
        <v>115</v>
      </c>
      <c r="E343" s="23"/>
      <c r="F343" s="23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658</v>
      </c>
      <c r="B344">
        <v>13</v>
      </c>
      <c r="C344">
        <v>6</v>
      </c>
      <c r="D344" s="9" t="s">
        <v>116</v>
      </c>
      <c r="E344" s="23"/>
      <c r="F344" s="23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659</v>
      </c>
      <c r="B345">
        <v>13</v>
      </c>
      <c r="C345">
        <v>6</v>
      </c>
      <c r="D345" s="9" t="s">
        <v>57</v>
      </c>
      <c r="E345" s="23"/>
      <c r="F345" s="23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660</v>
      </c>
      <c r="B346">
        <v>13</v>
      </c>
      <c r="C346">
        <v>6</v>
      </c>
      <c r="D346" s="9" t="s">
        <v>92</v>
      </c>
      <c r="E346" s="23"/>
      <c r="F346" s="23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661</v>
      </c>
      <c r="B347">
        <v>13</v>
      </c>
      <c r="C347">
        <v>11</v>
      </c>
      <c r="D347" s="9" t="s">
        <v>47</v>
      </c>
      <c r="E347" s="23"/>
      <c r="F347" s="23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662</v>
      </c>
      <c r="B348">
        <v>13</v>
      </c>
      <c r="C348">
        <v>6</v>
      </c>
      <c r="D348" s="9" t="s">
        <v>117</v>
      </c>
      <c r="E348" s="23"/>
      <c r="F348" s="23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663</v>
      </c>
      <c r="B349">
        <v>13</v>
      </c>
      <c r="C349">
        <v>6</v>
      </c>
      <c r="D349" s="9"/>
      <c r="E349" s="23"/>
      <c r="F349" s="23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664</v>
      </c>
      <c r="B350">
        <v>13</v>
      </c>
      <c r="C350">
        <v>6</v>
      </c>
      <c r="D350" s="9" t="s">
        <v>25</v>
      </c>
      <c r="E350" s="23"/>
      <c r="F350" s="23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665</v>
      </c>
      <c r="B351">
        <v>13</v>
      </c>
      <c r="C351">
        <v>12</v>
      </c>
      <c r="D351" s="9" t="s">
        <v>49</v>
      </c>
      <c r="E351" s="23"/>
      <c r="F351" s="23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666</v>
      </c>
      <c r="B352">
        <v>13</v>
      </c>
      <c r="C352">
        <v>6</v>
      </c>
      <c r="D352" s="9" t="s">
        <v>88</v>
      </c>
      <c r="E352" s="23"/>
      <c r="F352" s="23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667</v>
      </c>
      <c r="B353">
        <v>13</v>
      </c>
      <c r="C353">
        <v>5</v>
      </c>
      <c r="D353" s="9" t="s">
        <v>86</v>
      </c>
      <c r="E353" s="23"/>
      <c r="F353" s="23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668</v>
      </c>
      <c r="B354">
        <v>14</v>
      </c>
      <c r="C354">
        <v>6</v>
      </c>
      <c r="D354" s="9" t="s">
        <v>118</v>
      </c>
      <c r="E354" s="23"/>
      <c r="F354" s="23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669</v>
      </c>
      <c r="B355">
        <v>13</v>
      </c>
      <c r="C355">
        <v>10</v>
      </c>
      <c r="D355" s="9" t="s">
        <v>65</v>
      </c>
      <c r="E355" s="23"/>
      <c r="F355" s="23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670</v>
      </c>
      <c r="B356">
        <v>13</v>
      </c>
      <c r="C356">
        <v>6</v>
      </c>
      <c r="D356" s="9" t="s">
        <v>119</v>
      </c>
      <c r="E356" s="23"/>
      <c r="F356" s="23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671</v>
      </c>
      <c r="B357">
        <v>13</v>
      </c>
      <c r="C357">
        <v>6</v>
      </c>
      <c r="D357" s="9" t="s">
        <v>120</v>
      </c>
      <c r="E357" s="23"/>
      <c r="F357" s="23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672</v>
      </c>
      <c r="B358">
        <v>13</v>
      </c>
      <c r="C358">
        <v>6</v>
      </c>
      <c r="D358" s="9" t="s">
        <v>121</v>
      </c>
      <c r="E358" s="23"/>
      <c r="F358" s="23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673</v>
      </c>
      <c r="B359">
        <v>13</v>
      </c>
      <c r="C359">
        <v>13</v>
      </c>
      <c r="D359" s="9" t="s">
        <v>51</v>
      </c>
      <c r="E359" s="23"/>
      <c r="F359" s="23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674</v>
      </c>
      <c r="B360">
        <v>13</v>
      </c>
      <c r="C360">
        <v>6</v>
      </c>
      <c r="D360" s="9" t="s">
        <v>106</v>
      </c>
      <c r="E360" s="23"/>
      <c r="F360" s="23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675</v>
      </c>
      <c r="B361">
        <v>13</v>
      </c>
      <c r="C361">
        <v>6</v>
      </c>
      <c r="D361" s="9" t="s">
        <v>113</v>
      </c>
      <c r="E361" s="23"/>
      <c r="F361" s="23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676</v>
      </c>
      <c r="B362">
        <v>12</v>
      </c>
      <c r="C362">
        <v>6</v>
      </c>
      <c r="D362" s="9" t="s">
        <v>103</v>
      </c>
      <c r="E362" s="23"/>
      <c r="F362" s="23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677</v>
      </c>
      <c r="B363">
        <v>12</v>
      </c>
      <c r="C363">
        <v>8</v>
      </c>
      <c r="D363" s="9" t="s">
        <v>122</v>
      </c>
      <c r="E363" s="23"/>
      <c r="F363" s="23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678</v>
      </c>
      <c r="B364">
        <v>12</v>
      </c>
      <c r="C364">
        <v>5</v>
      </c>
      <c r="D364" s="9" t="s">
        <v>54</v>
      </c>
      <c r="E364" s="23"/>
      <c r="F364" s="23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679</v>
      </c>
      <c r="B365">
        <v>12</v>
      </c>
      <c r="C365">
        <v>5</v>
      </c>
      <c r="D365" s="9" t="s">
        <v>124</v>
      </c>
      <c r="E365" s="23"/>
      <c r="F365" s="23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680</v>
      </c>
      <c r="B366">
        <v>12</v>
      </c>
      <c r="C366">
        <v>13</v>
      </c>
      <c r="D366" s="9" t="s">
        <v>71</v>
      </c>
      <c r="E366" s="23"/>
      <c r="F366" s="23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681</v>
      </c>
      <c r="B367">
        <v>12</v>
      </c>
      <c r="C367">
        <v>6</v>
      </c>
      <c r="D367" s="9" t="s">
        <v>125</v>
      </c>
      <c r="E367" s="23"/>
      <c r="F367" s="23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682</v>
      </c>
      <c r="B368">
        <v>12</v>
      </c>
      <c r="C368">
        <v>6</v>
      </c>
      <c r="D368" s="9" t="s">
        <v>113</v>
      </c>
      <c r="E368" s="23"/>
      <c r="F368" s="23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683</v>
      </c>
      <c r="B369">
        <v>12</v>
      </c>
      <c r="C369">
        <v>6</v>
      </c>
      <c r="D369" s="9" t="s">
        <v>109</v>
      </c>
      <c r="E369" s="23"/>
      <c r="F369" s="23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684</v>
      </c>
      <c r="B370">
        <v>12</v>
      </c>
      <c r="C370">
        <v>10</v>
      </c>
      <c r="D370" s="9" t="s">
        <v>126</v>
      </c>
      <c r="E370" s="23"/>
      <c r="F370" s="23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685</v>
      </c>
      <c r="B371">
        <v>12</v>
      </c>
      <c r="C371">
        <v>6</v>
      </c>
      <c r="D371" s="9" t="s">
        <v>127</v>
      </c>
      <c r="E371" s="23"/>
      <c r="F371" s="23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686</v>
      </c>
      <c r="B372">
        <v>12</v>
      </c>
      <c r="C372">
        <v>6</v>
      </c>
      <c r="D372" s="9" t="s">
        <v>127</v>
      </c>
      <c r="E372" s="23"/>
      <c r="F372" s="23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687</v>
      </c>
      <c r="B373">
        <v>12</v>
      </c>
      <c r="C373">
        <v>6</v>
      </c>
      <c r="D373" s="9" t="s">
        <v>128</v>
      </c>
      <c r="E373" s="23"/>
      <c r="F373" s="23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688</v>
      </c>
      <c r="B374">
        <v>12</v>
      </c>
      <c r="C374">
        <v>10</v>
      </c>
      <c r="D374" s="9" t="s">
        <v>14</v>
      </c>
      <c r="E374" s="23"/>
      <c r="F374" s="23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689</v>
      </c>
      <c r="B375">
        <v>12</v>
      </c>
      <c r="C375">
        <v>6</v>
      </c>
      <c r="D375" s="9" t="s">
        <v>129</v>
      </c>
      <c r="E375" s="23"/>
      <c r="F375" s="23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690</v>
      </c>
      <c r="B376">
        <v>12</v>
      </c>
      <c r="C376">
        <v>6</v>
      </c>
      <c r="D376" s="9" t="s">
        <v>118</v>
      </c>
      <c r="E376" s="23"/>
      <c r="F376" s="23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691</v>
      </c>
      <c r="B377">
        <v>12</v>
      </c>
      <c r="C377">
        <v>6</v>
      </c>
      <c r="D377" s="9" t="s">
        <v>14</v>
      </c>
      <c r="E377" s="23"/>
      <c r="F377" s="23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692</v>
      </c>
      <c r="B378">
        <v>12</v>
      </c>
      <c r="C378">
        <v>11</v>
      </c>
      <c r="D378" s="9" t="s">
        <v>130</v>
      </c>
      <c r="E378" s="23"/>
      <c r="F378" s="23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693</v>
      </c>
      <c r="B379">
        <v>12</v>
      </c>
      <c r="C379">
        <v>5</v>
      </c>
      <c r="D379" s="9" t="s">
        <v>131</v>
      </c>
      <c r="E379" s="23"/>
      <c r="F379" s="23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694</v>
      </c>
      <c r="B380">
        <v>12</v>
      </c>
      <c r="C380">
        <v>6</v>
      </c>
      <c r="D380" s="9" t="s">
        <v>131</v>
      </c>
      <c r="E380" s="23"/>
      <c r="F380" s="23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695</v>
      </c>
      <c r="B381">
        <v>12</v>
      </c>
      <c r="C381">
        <v>10</v>
      </c>
      <c r="D381" s="9" t="s">
        <v>54</v>
      </c>
      <c r="E381" s="23"/>
      <c r="F381" s="23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696</v>
      </c>
      <c r="B382">
        <v>12</v>
      </c>
      <c r="C382">
        <v>4</v>
      </c>
      <c r="D382" s="9" t="s">
        <v>132</v>
      </c>
      <c r="E382" s="23"/>
      <c r="F382" s="23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697</v>
      </c>
      <c r="B383">
        <v>12</v>
      </c>
      <c r="C383">
        <v>4</v>
      </c>
      <c r="D383" s="9" t="s">
        <v>133</v>
      </c>
      <c r="E383" s="23"/>
      <c r="F383" s="23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698</v>
      </c>
      <c r="B384">
        <v>12</v>
      </c>
      <c r="C384">
        <v>6</v>
      </c>
      <c r="D384" s="9" t="s">
        <v>119</v>
      </c>
      <c r="E384" s="23"/>
      <c r="F384" s="23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699</v>
      </c>
      <c r="B385">
        <v>12</v>
      </c>
      <c r="C385">
        <v>6</v>
      </c>
      <c r="D385" s="9" t="s">
        <v>134</v>
      </c>
      <c r="E385" s="23"/>
      <c r="F385" s="23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700</v>
      </c>
      <c r="B386">
        <v>12</v>
      </c>
      <c r="C386">
        <v>6</v>
      </c>
      <c r="D386" s="9"/>
      <c r="E386" s="23"/>
      <c r="F386" s="23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701</v>
      </c>
      <c r="B387">
        <v>11</v>
      </c>
      <c r="C387">
        <v>10</v>
      </c>
      <c r="D387" s="9" t="s">
        <v>118</v>
      </c>
      <c r="E387" s="23"/>
      <c r="F387" s="23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702</v>
      </c>
      <c r="B388">
        <v>11</v>
      </c>
      <c r="C388">
        <v>6</v>
      </c>
      <c r="D388" s="9" t="s">
        <v>122</v>
      </c>
      <c r="E388" s="23"/>
      <c r="F388" s="23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703</v>
      </c>
      <c r="B389">
        <v>11</v>
      </c>
      <c r="C389">
        <v>6</v>
      </c>
      <c r="D389" s="9" t="s">
        <v>26</v>
      </c>
      <c r="E389" s="23"/>
      <c r="F389" s="23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704</v>
      </c>
      <c r="B390">
        <v>11</v>
      </c>
      <c r="C390">
        <v>6</v>
      </c>
      <c r="D390" s="9" t="s">
        <v>103</v>
      </c>
      <c r="E390" s="23"/>
      <c r="F390" s="23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705</v>
      </c>
      <c r="B391">
        <v>11</v>
      </c>
      <c r="C391">
        <v>5</v>
      </c>
      <c r="D391" s="9" t="s">
        <v>97</v>
      </c>
      <c r="E391" s="23"/>
      <c r="F391" s="23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706</v>
      </c>
      <c r="B392">
        <v>11</v>
      </c>
      <c r="C392">
        <v>6</v>
      </c>
      <c r="D392" s="9" t="s">
        <v>20</v>
      </c>
      <c r="E392" s="23"/>
      <c r="F392" s="23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707</v>
      </c>
      <c r="B393">
        <v>11</v>
      </c>
      <c r="C393">
        <v>11</v>
      </c>
      <c r="D393" s="9" t="s">
        <v>136</v>
      </c>
      <c r="E393" s="23"/>
      <c r="F393" s="23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708</v>
      </c>
      <c r="B394">
        <v>11</v>
      </c>
      <c r="C394">
        <v>6</v>
      </c>
      <c r="D394" s="9" t="s">
        <v>52</v>
      </c>
      <c r="E394" s="23"/>
      <c r="F394" s="23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709</v>
      </c>
      <c r="B395">
        <v>11</v>
      </c>
      <c r="C395">
        <v>6</v>
      </c>
      <c r="D395" s="9" t="s">
        <v>26</v>
      </c>
      <c r="E395" s="23"/>
      <c r="F395" s="23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710</v>
      </c>
      <c r="B396">
        <v>11</v>
      </c>
      <c r="C396">
        <v>6</v>
      </c>
      <c r="D396" s="9" t="s">
        <v>137</v>
      </c>
      <c r="E396" s="23"/>
      <c r="F396" s="23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711</v>
      </c>
      <c r="B397">
        <v>11</v>
      </c>
      <c r="C397">
        <v>3</v>
      </c>
      <c r="D397" s="9" t="s">
        <v>110</v>
      </c>
      <c r="E397" s="23"/>
      <c r="F397" s="23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711</v>
      </c>
      <c r="B398">
        <v>11</v>
      </c>
      <c r="C398">
        <v>8</v>
      </c>
      <c r="D398" s="9" t="s">
        <v>52</v>
      </c>
      <c r="E398" s="23"/>
      <c r="F398" s="23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712</v>
      </c>
      <c r="B399">
        <v>11</v>
      </c>
      <c r="C399">
        <v>6</v>
      </c>
      <c r="D399" s="9" t="s">
        <v>16</v>
      </c>
      <c r="E399" s="23"/>
      <c r="F399" s="23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713</v>
      </c>
      <c r="B400">
        <v>11</v>
      </c>
      <c r="C400">
        <v>6</v>
      </c>
      <c r="D400" s="9" t="s">
        <v>30</v>
      </c>
      <c r="E400" s="23"/>
      <c r="F400" s="23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714</v>
      </c>
      <c r="B401">
        <v>11</v>
      </c>
      <c r="C401">
        <v>6</v>
      </c>
      <c r="D401" s="9" t="s">
        <v>71</v>
      </c>
      <c r="E401" s="23"/>
      <c r="F401" s="23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715</v>
      </c>
      <c r="B402">
        <v>11</v>
      </c>
      <c r="C402">
        <v>5</v>
      </c>
      <c r="D402" s="9" t="s">
        <v>138</v>
      </c>
      <c r="E402" s="23"/>
      <c r="F402" s="23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715</v>
      </c>
      <c r="B403">
        <v>11</v>
      </c>
      <c r="C403">
        <v>4</v>
      </c>
      <c r="D403" s="9" t="s">
        <v>18</v>
      </c>
      <c r="E403" s="23"/>
      <c r="F403" s="23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716</v>
      </c>
      <c r="B404">
        <v>11</v>
      </c>
      <c r="C404">
        <v>6</v>
      </c>
      <c r="D404" s="9" t="s">
        <v>53</v>
      </c>
      <c r="E404" s="23"/>
      <c r="F404" s="23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717</v>
      </c>
      <c r="B405">
        <v>11</v>
      </c>
      <c r="C405">
        <v>6</v>
      </c>
      <c r="D405" s="9" t="s">
        <v>139</v>
      </c>
      <c r="E405" s="23"/>
      <c r="F405" s="23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718</v>
      </c>
      <c r="B406">
        <v>11</v>
      </c>
      <c r="C406">
        <v>4</v>
      </c>
      <c r="D406" s="9" t="s">
        <v>86</v>
      </c>
      <c r="E406" s="23"/>
      <c r="F406" s="23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719</v>
      </c>
      <c r="B407">
        <v>10</v>
      </c>
      <c r="C407">
        <v>12</v>
      </c>
      <c r="D407" s="9" t="s">
        <v>107</v>
      </c>
      <c r="E407" s="23"/>
      <c r="F407" s="23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720</v>
      </c>
      <c r="B408">
        <v>11</v>
      </c>
      <c r="C408">
        <v>6</v>
      </c>
      <c r="D408" s="9" t="s">
        <v>50</v>
      </c>
      <c r="E408" s="23"/>
      <c r="F408" s="23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721</v>
      </c>
      <c r="B409">
        <v>11</v>
      </c>
      <c r="C409">
        <v>6</v>
      </c>
      <c r="D409" s="9" t="s">
        <v>8</v>
      </c>
      <c r="E409" s="23"/>
      <c r="F409" s="23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722</v>
      </c>
      <c r="B410">
        <v>11</v>
      </c>
      <c r="C410">
        <v>8</v>
      </c>
      <c r="D410" s="9" t="s">
        <v>141</v>
      </c>
      <c r="E410" s="23"/>
      <c r="F410" s="23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723</v>
      </c>
      <c r="B411">
        <v>9</v>
      </c>
      <c r="C411">
        <v>8</v>
      </c>
      <c r="D411" s="9" t="s">
        <v>143</v>
      </c>
      <c r="E411" s="23"/>
      <c r="F411" s="23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724</v>
      </c>
      <c r="B412">
        <v>14</v>
      </c>
      <c r="C412">
        <v>5</v>
      </c>
      <c r="D412" s="9" t="s">
        <v>22</v>
      </c>
      <c r="E412" s="23"/>
      <c r="F412" s="23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725</v>
      </c>
      <c r="B413">
        <v>11</v>
      </c>
      <c r="C413">
        <v>7</v>
      </c>
      <c r="D413" s="9" t="s">
        <v>28</v>
      </c>
      <c r="E413" s="23"/>
      <c r="F413" s="23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726</v>
      </c>
      <c r="B414">
        <v>14</v>
      </c>
      <c r="C414">
        <v>7</v>
      </c>
      <c r="D414" s="9" t="s">
        <v>49</v>
      </c>
      <c r="E414" s="23"/>
      <c r="F414" s="23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727</v>
      </c>
      <c r="B415">
        <v>11</v>
      </c>
      <c r="C415">
        <v>7</v>
      </c>
      <c r="D415" s="9" t="s">
        <v>50</v>
      </c>
      <c r="E415" s="23"/>
      <c r="F415" s="23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728</v>
      </c>
      <c r="B416">
        <v>14</v>
      </c>
      <c r="C416">
        <v>13</v>
      </c>
      <c r="D416" s="9" t="s">
        <v>28</v>
      </c>
      <c r="E416" s="23"/>
      <c r="F416" s="23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729</v>
      </c>
      <c r="B417">
        <v>11</v>
      </c>
      <c r="C417">
        <v>7</v>
      </c>
      <c r="D417" s="9" t="s">
        <v>122</v>
      </c>
      <c r="E417" s="23"/>
      <c r="F417" s="23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730</v>
      </c>
      <c r="B418">
        <v>14</v>
      </c>
      <c r="C418">
        <v>7</v>
      </c>
      <c r="D418" s="9" t="s">
        <v>13</v>
      </c>
      <c r="E418" s="23"/>
      <c r="F418" s="23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731</v>
      </c>
      <c r="B419">
        <v>11</v>
      </c>
      <c r="C419">
        <v>7</v>
      </c>
      <c r="D419" s="9" t="s">
        <v>144</v>
      </c>
      <c r="E419" s="23"/>
      <c r="F419" s="23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732</v>
      </c>
      <c r="B420">
        <v>14</v>
      </c>
      <c r="C420">
        <v>13</v>
      </c>
      <c r="D420" s="9" t="s">
        <v>29</v>
      </c>
      <c r="E420" s="23"/>
      <c r="F420" s="23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733</v>
      </c>
      <c r="B421">
        <v>10</v>
      </c>
      <c r="C421">
        <v>7</v>
      </c>
      <c r="D421" s="9" t="s">
        <v>86</v>
      </c>
      <c r="E421" s="23"/>
      <c r="F421" s="23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734</v>
      </c>
      <c r="B422">
        <v>10</v>
      </c>
      <c r="C422">
        <v>7</v>
      </c>
      <c r="D422" s="9" t="s">
        <v>42</v>
      </c>
      <c r="E422" s="23"/>
      <c r="F422" s="23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735</v>
      </c>
      <c r="B423">
        <v>9</v>
      </c>
      <c r="C423">
        <v>12</v>
      </c>
      <c r="D423" s="9" t="s">
        <v>145</v>
      </c>
      <c r="E423" s="23"/>
      <c r="F423" s="23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736</v>
      </c>
      <c r="B424">
        <v>10</v>
      </c>
      <c r="C424">
        <v>6</v>
      </c>
      <c r="D424" s="9" t="s">
        <v>70</v>
      </c>
      <c r="E424" s="23"/>
      <c r="F424" s="23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737</v>
      </c>
      <c r="B425">
        <v>14</v>
      </c>
      <c r="C425">
        <v>6</v>
      </c>
      <c r="D425" s="9" t="s">
        <v>83</v>
      </c>
      <c r="E425" s="23"/>
      <c r="F425" s="23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738</v>
      </c>
      <c r="B426">
        <v>10</v>
      </c>
      <c r="C426">
        <v>6</v>
      </c>
      <c r="D426" s="9" t="s">
        <v>42</v>
      </c>
      <c r="E426" s="23"/>
      <c r="F426" s="23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739</v>
      </c>
      <c r="B427">
        <v>11</v>
      </c>
      <c r="C427">
        <v>8</v>
      </c>
      <c r="D427" s="9" t="s">
        <v>77</v>
      </c>
      <c r="E427" s="23"/>
      <c r="F427" s="23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740</v>
      </c>
      <c r="B428">
        <v>14</v>
      </c>
      <c r="C428">
        <v>6</v>
      </c>
      <c r="D428" s="9" t="s">
        <v>146</v>
      </c>
      <c r="E428" s="23"/>
      <c r="F428" s="23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741</v>
      </c>
      <c r="B429">
        <v>10</v>
      </c>
      <c r="C429">
        <v>8</v>
      </c>
      <c r="D429" s="9" t="s">
        <v>89</v>
      </c>
      <c r="E429" s="23"/>
      <c r="F429" s="23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742</v>
      </c>
      <c r="B430">
        <v>9</v>
      </c>
      <c r="C430">
        <v>10</v>
      </c>
      <c r="D430" s="9" t="s">
        <v>147</v>
      </c>
      <c r="E430" s="23"/>
      <c r="F430" s="23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743</v>
      </c>
      <c r="B431">
        <v>10</v>
      </c>
      <c r="C431">
        <v>8</v>
      </c>
      <c r="D431" s="9" t="s">
        <v>12</v>
      </c>
      <c r="E431" s="23"/>
      <c r="F431" s="23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744</v>
      </c>
      <c r="B432">
        <v>14</v>
      </c>
      <c r="C432">
        <v>5</v>
      </c>
      <c r="D432" s="9" t="s">
        <v>148</v>
      </c>
      <c r="E432" s="23"/>
      <c r="F432" s="23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745</v>
      </c>
      <c r="B433">
        <v>10</v>
      </c>
      <c r="C433">
        <v>6</v>
      </c>
      <c r="D433" s="9" t="s">
        <v>88</v>
      </c>
      <c r="E433" s="23"/>
      <c r="F433" s="23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746</v>
      </c>
      <c r="B434">
        <v>14</v>
      </c>
      <c r="C434">
        <v>14</v>
      </c>
      <c r="D434" s="9" t="s">
        <v>42</v>
      </c>
      <c r="E434" s="23"/>
      <c r="F434" s="23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747</v>
      </c>
      <c r="B435">
        <v>10</v>
      </c>
      <c r="C435">
        <v>6</v>
      </c>
      <c r="D435" s="9" t="s">
        <v>79</v>
      </c>
      <c r="E435" s="23"/>
      <c r="F435" s="23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748</v>
      </c>
      <c r="B436">
        <v>14</v>
      </c>
      <c r="C436">
        <v>6</v>
      </c>
      <c r="D436" s="9" t="s">
        <v>149</v>
      </c>
      <c r="E436" s="23"/>
      <c r="F436" s="23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749</v>
      </c>
      <c r="B437">
        <v>10</v>
      </c>
      <c r="C437">
        <v>6</v>
      </c>
      <c r="D437" s="9" t="s">
        <v>79</v>
      </c>
      <c r="E437" s="23"/>
      <c r="F437" s="23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750</v>
      </c>
      <c r="B438">
        <v>9</v>
      </c>
      <c r="C438">
        <v>9</v>
      </c>
      <c r="D438" s="9" t="s">
        <v>90</v>
      </c>
      <c r="E438" s="23"/>
      <c r="F438" s="23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751</v>
      </c>
      <c r="B439">
        <v>10</v>
      </c>
      <c r="C439">
        <v>8</v>
      </c>
      <c r="D439" s="9" t="s">
        <v>88</v>
      </c>
      <c r="E439" s="23"/>
      <c r="F439" s="23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752</v>
      </c>
      <c r="B440">
        <v>10</v>
      </c>
      <c r="C440">
        <v>6</v>
      </c>
      <c r="D440" s="9" t="s">
        <v>150</v>
      </c>
      <c r="E440" s="23"/>
      <c r="F440" s="23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753</v>
      </c>
      <c r="B441">
        <v>14</v>
      </c>
      <c r="C441">
        <v>6</v>
      </c>
      <c r="D441" s="9" t="s">
        <v>8</v>
      </c>
      <c r="E441" s="23"/>
      <c r="F441" s="23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754</v>
      </c>
      <c r="B442">
        <v>10</v>
      </c>
      <c r="C442">
        <v>6</v>
      </c>
      <c r="D442" s="9" t="s">
        <v>82</v>
      </c>
      <c r="E442" s="23"/>
      <c r="F442" s="23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755</v>
      </c>
      <c r="B443">
        <v>14</v>
      </c>
      <c r="C443">
        <v>13</v>
      </c>
      <c r="D443" s="9" t="s">
        <v>151</v>
      </c>
      <c r="E443" s="23"/>
      <c r="F443" s="23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756</v>
      </c>
      <c r="B444">
        <v>10</v>
      </c>
      <c r="C444">
        <v>6</v>
      </c>
      <c r="D444" s="9" t="s">
        <v>44</v>
      </c>
      <c r="E444" s="23"/>
      <c r="F444" s="23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757</v>
      </c>
      <c r="B445">
        <v>14</v>
      </c>
      <c r="C445">
        <v>6</v>
      </c>
      <c r="D445" s="9" t="s">
        <v>63</v>
      </c>
      <c r="E445" s="23"/>
      <c r="F445" s="23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758</v>
      </c>
      <c r="B446">
        <v>10</v>
      </c>
      <c r="C446">
        <v>6</v>
      </c>
      <c r="D446" s="9" t="s">
        <v>12</v>
      </c>
      <c r="E446" s="23"/>
      <c r="F446" s="23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759</v>
      </c>
      <c r="B447">
        <v>9</v>
      </c>
      <c r="C447">
        <v>11</v>
      </c>
      <c r="D447" s="9" t="s">
        <v>152</v>
      </c>
      <c r="E447" s="23"/>
      <c r="F447" s="23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760</v>
      </c>
      <c r="B448">
        <v>10</v>
      </c>
      <c r="C448">
        <v>6</v>
      </c>
      <c r="D448" s="9" t="s">
        <v>153</v>
      </c>
      <c r="E448" s="23"/>
      <c r="F448" s="23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761</v>
      </c>
      <c r="B449">
        <v>14</v>
      </c>
      <c r="C449">
        <v>6</v>
      </c>
      <c r="D449" s="9" t="s">
        <v>154</v>
      </c>
      <c r="E449" s="23"/>
      <c r="F449" s="23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762</v>
      </c>
      <c r="B450">
        <v>10</v>
      </c>
      <c r="C450">
        <v>5</v>
      </c>
      <c r="D450" s="9" t="s">
        <v>113</v>
      </c>
      <c r="E450" s="23"/>
      <c r="F450" s="23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763</v>
      </c>
      <c r="B451">
        <v>14</v>
      </c>
      <c r="C451">
        <v>6</v>
      </c>
      <c r="D451" s="9" t="s">
        <v>155</v>
      </c>
      <c r="E451" s="23"/>
      <c r="F451" s="23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764</v>
      </c>
      <c r="B452">
        <v>8</v>
      </c>
      <c r="C452">
        <v>6</v>
      </c>
      <c r="D452" s="9" t="s">
        <v>61</v>
      </c>
      <c r="E452" s="23"/>
      <c r="F452" s="23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765</v>
      </c>
      <c r="B453">
        <v>8</v>
      </c>
      <c r="C453">
        <v>6</v>
      </c>
      <c r="D453" s="9" t="s">
        <v>15</v>
      </c>
      <c r="E453" s="23"/>
      <c r="F453" s="23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766</v>
      </c>
      <c r="B454">
        <v>7</v>
      </c>
      <c r="C454">
        <v>10</v>
      </c>
      <c r="D454" s="9" t="s">
        <v>117</v>
      </c>
      <c r="E454" s="23"/>
      <c r="F454" s="23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767</v>
      </c>
      <c r="B455">
        <v>7</v>
      </c>
      <c r="C455">
        <v>8</v>
      </c>
      <c r="D455" s="9" t="s">
        <v>11</v>
      </c>
      <c r="E455" s="23"/>
      <c r="F455" s="23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768</v>
      </c>
      <c r="B456">
        <v>8</v>
      </c>
      <c r="C456">
        <v>5</v>
      </c>
      <c r="D456" s="9" t="s">
        <v>87</v>
      </c>
      <c r="E456" s="23"/>
      <c r="F456" s="23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769</v>
      </c>
      <c r="B457">
        <v>7</v>
      </c>
      <c r="C457">
        <v>8</v>
      </c>
      <c r="D457" s="9" t="s">
        <v>15</v>
      </c>
      <c r="E457" s="23"/>
      <c r="F457" s="23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770</v>
      </c>
      <c r="B458">
        <v>8</v>
      </c>
      <c r="C458">
        <v>15</v>
      </c>
      <c r="D458" s="9" t="s">
        <v>71</v>
      </c>
      <c r="E458" s="23"/>
      <c r="F458" s="23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771</v>
      </c>
      <c r="B459">
        <v>8</v>
      </c>
      <c r="C459">
        <v>8</v>
      </c>
      <c r="D459" s="9" t="s">
        <v>57</v>
      </c>
      <c r="E459" s="23"/>
      <c r="F459" s="23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772</v>
      </c>
      <c r="B460">
        <v>7</v>
      </c>
      <c r="C460">
        <v>5</v>
      </c>
      <c r="D460" s="9" t="s">
        <v>56</v>
      </c>
      <c r="E460" s="23"/>
      <c r="F460" s="23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773</v>
      </c>
      <c r="B461">
        <v>8</v>
      </c>
      <c r="C461">
        <v>8</v>
      </c>
      <c r="D461" s="9" t="s">
        <v>159</v>
      </c>
      <c r="E461" s="23"/>
      <c r="F461" s="23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774</v>
      </c>
      <c r="B462">
        <v>7</v>
      </c>
      <c r="C462">
        <v>13</v>
      </c>
      <c r="D462" s="9" t="s">
        <v>8</v>
      </c>
      <c r="E462" s="23"/>
      <c r="F462" s="23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775</v>
      </c>
      <c r="B463">
        <v>8</v>
      </c>
      <c r="C463">
        <v>7</v>
      </c>
      <c r="D463" s="9" t="s">
        <v>26</v>
      </c>
      <c r="E463" s="23"/>
      <c r="F463" s="23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776</v>
      </c>
      <c r="B464">
        <v>7</v>
      </c>
      <c r="C464">
        <v>5</v>
      </c>
      <c r="D464" s="9" t="s">
        <v>160</v>
      </c>
      <c r="E464" s="23"/>
      <c r="F464" s="23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777</v>
      </c>
      <c r="B465">
        <v>8</v>
      </c>
      <c r="C465">
        <v>7</v>
      </c>
      <c r="D465" s="9" t="s">
        <v>44</v>
      </c>
      <c r="E465" s="23"/>
      <c r="F465" s="23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778</v>
      </c>
      <c r="B466">
        <v>9</v>
      </c>
      <c r="C466">
        <v>8</v>
      </c>
      <c r="D466" s="9" t="s">
        <v>161</v>
      </c>
      <c r="E466" s="23"/>
      <c r="F466" s="23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779</v>
      </c>
      <c r="B467">
        <v>7</v>
      </c>
      <c r="C467">
        <v>5</v>
      </c>
      <c r="D467" s="9" t="s">
        <v>117</v>
      </c>
      <c r="E467" s="23"/>
      <c r="F467" s="23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780</v>
      </c>
      <c r="B468">
        <v>8</v>
      </c>
      <c r="C468">
        <v>5</v>
      </c>
      <c r="D468" s="9" t="s">
        <v>88</v>
      </c>
      <c r="E468" s="23"/>
      <c r="F468" s="23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781</v>
      </c>
      <c r="B469">
        <v>8</v>
      </c>
      <c r="C469">
        <v>5</v>
      </c>
      <c r="D469" s="9" t="s">
        <v>78</v>
      </c>
      <c r="E469" s="23"/>
      <c r="F469" s="23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782</v>
      </c>
      <c r="B470">
        <v>7</v>
      </c>
      <c r="C470">
        <v>8</v>
      </c>
      <c r="D470" s="9" t="s">
        <v>12</v>
      </c>
      <c r="E470" s="23"/>
      <c r="F470" s="23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783</v>
      </c>
      <c r="B471">
        <v>8</v>
      </c>
      <c r="C471">
        <v>5</v>
      </c>
      <c r="D471" s="9" t="s">
        <v>92</v>
      </c>
      <c r="E471" s="23"/>
      <c r="F471" s="23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784</v>
      </c>
      <c r="B472">
        <v>8</v>
      </c>
      <c r="C472">
        <v>5</v>
      </c>
      <c r="D472" s="9" t="s">
        <v>89</v>
      </c>
      <c r="E472" s="23"/>
      <c r="F472" s="23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785</v>
      </c>
      <c r="B473">
        <v>8</v>
      </c>
      <c r="C473">
        <v>4</v>
      </c>
      <c r="D473" s="9" t="s">
        <v>29</v>
      </c>
      <c r="E473" s="23"/>
      <c r="F473" s="23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786</v>
      </c>
      <c r="B474">
        <v>6</v>
      </c>
      <c r="C474">
        <v>13</v>
      </c>
      <c r="D474" s="9" t="s">
        <v>85</v>
      </c>
      <c r="E474" s="23"/>
      <c r="F474" s="23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787</v>
      </c>
      <c r="B475">
        <v>6</v>
      </c>
      <c r="C475">
        <v>6</v>
      </c>
      <c r="D475" s="9" t="s">
        <v>54</v>
      </c>
      <c r="E475" s="23"/>
      <c r="F475" s="23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788</v>
      </c>
      <c r="B476">
        <v>6</v>
      </c>
      <c r="C476">
        <v>5</v>
      </c>
      <c r="D476" s="9" t="s">
        <v>70</v>
      </c>
      <c r="E476" s="23"/>
      <c r="F476" s="23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789</v>
      </c>
      <c r="B477">
        <v>6</v>
      </c>
      <c r="C477">
        <v>4</v>
      </c>
      <c r="D477" s="9" t="s">
        <v>107</v>
      </c>
      <c r="E477" s="23"/>
      <c r="F477" s="23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790</v>
      </c>
      <c r="B478">
        <v>6</v>
      </c>
      <c r="C478">
        <v>5</v>
      </c>
      <c r="D478" s="9" t="s">
        <v>47</v>
      </c>
      <c r="E478" s="23"/>
      <c r="F478" s="23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791</v>
      </c>
      <c r="B479">
        <v>6</v>
      </c>
      <c r="C479">
        <v>3</v>
      </c>
      <c r="D479" s="9" t="s">
        <v>168</v>
      </c>
      <c r="E479" s="23"/>
      <c r="F479" s="23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791</v>
      </c>
      <c r="B480">
        <v>6</v>
      </c>
      <c r="C480">
        <v>7</v>
      </c>
      <c r="D480" s="9" t="s">
        <v>19</v>
      </c>
      <c r="E480" s="23"/>
      <c r="F480" s="23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792</v>
      </c>
      <c r="B481">
        <v>6</v>
      </c>
      <c r="C481">
        <v>3</v>
      </c>
      <c r="D481" s="9" t="s">
        <v>22</v>
      </c>
      <c r="E481" s="23"/>
      <c r="F481" s="23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793</v>
      </c>
      <c r="B482">
        <v>6</v>
      </c>
      <c r="C482">
        <v>5</v>
      </c>
      <c r="D482" s="9" t="s">
        <v>64</v>
      </c>
      <c r="E482" s="23"/>
      <c r="F482" s="23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794</v>
      </c>
      <c r="B483">
        <v>6</v>
      </c>
      <c r="C483">
        <v>5</v>
      </c>
      <c r="D483" s="9" t="s">
        <v>89</v>
      </c>
      <c r="E483" s="23"/>
      <c r="F483" s="23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795</v>
      </c>
      <c r="B484">
        <v>6</v>
      </c>
      <c r="C484">
        <v>7</v>
      </c>
      <c r="D484" s="9" t="s">
        <v>58</v>
      </c>
      <c r="E484" s="23"/>
      <c r="F484" s="23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796</v>
      </c>
      <c r="B485">
        <v>8</v>
      </c>
      <c r="C485">
        <v>5</v>
      </c>
      <c r="D485" s="9" t="s">
        <v>19</v>
      </c>
      <c r="E485" s="23"/>
      <c r="F485" s="23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797</v>
      </c>
      <c r="B486">
        <v>6</v>
      </c>
      <c r="C486">
        <v>11</v>
      </c>
      <c r="D486" s="9" t="s">
        <v>86</v>
      </c>
      <c r="E486" s="23">
        <v>1011</v>
      </c>
      <c r="F486" s="23"/>
      <c r="G486" s="1">
        <v>60</v>
      </c>
      <c r="H486" s="8" t="s">
        <v>285</v>
      </c>
      <c r="I486" s="1">
        <v>80</v>
      </c>
      <c r="J486" s="8" t="s">
        <v>287</v>
      </c>
      <c r="K486" s="1">
        <v>6</v>
      </c>
      <c r="L486" s="8" t="s">
        <v>288</v>
      </c>
    </row>
    <row r="487" spans="1:12" x14ac:dyDescent="0.2">
      <c r="A487" t="s">
        <v>798</v>
      </c>
      <c r="B487">
        <v>6</v>
      </c>
      <c r="C487">
        <v>4</v>
      </c>
      <c r="D487" s="9" t="s">
        <v>62</v>
      </c>
      <c r="E487" s="23">
        <v>69</v>
      </c>
      <c r="F487" s="23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799</v>
      </c>
      <c r="B488">
        <v>8</v>
      </c>
      <c r="C488">
        <v>5</v>
      </c>
      <c r="D488" s="9" t="s">
        <v>47</v>
      </c>
      <c r="E488" s="23">
        <v>183</v>
      </c>
      <c r="F488" s="23"/>
      <c r="G488" s="1">
        <v>60</v>
      </c>
      <c r="H488" s="8" t="s">
        <v>289</v>
      </c>
      <c r="I488" s="1">
        <v>80</v>
      </c>
      <c r="J488" s="8" t="s">
        <v>290</v>
      </c>
      <c r="K488" s="1">
        <v>9</v>
      </c>
      <c r="L488" s="8" t="s">
        <v>291</v>
      </c>
    </row>
    <row r="489" spans="1:12" x14ac:dyDescent="0.2">
      <c r="A489" t="s">
        <v>800</v>
      </c>
      <c r="B489">
        <v>6</v>
      </c>
      <c r="C489">
        <v>6</v>
      </c>
      <c r="D489" s="9" t="s">
        <v>150</v>
      </c>
      <c r="E489" s="23">
        <v>138</v>
      </c>
      <c r="F489" s="23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801</v>
      </c>
      <c r="B490">
        <v>8</v>
      </c>
      <c r="C490">
        <v>7</v>
      </c>
      <c r="D490" s="9" t="s">
        <v>12</v>
      </c>
      <c r="E490" s="23">
        <v>106</v>
      </c>
      <c r="F490" s="23"/>
      <c r="G490" s="1">
        <v>60</v>
      </c>
      <c r="H490" s="8" t="s">
        <v>172</v>
      </c>
      <c r="I490" s="1">
        <v>80</v>
      </c>
      <c r="J490" s="8" t="s">
        <v>292</v>
      </c>
      <c r="K490" s="1">
        <v>1</v>
      </c>
      <c r="L490" s="1"/>
    </row>
    <row r="491" spans="1:12" x14ac:dyDescent="0.2">
      <c r="A491" t="s">
        <v>802</v>
      </c>
      <c r="B491">
        <v>8</v>
      </c>
      <c r="C491">
        <v>5</v>
      </c>
      <c r="D491" s="9" t="s">
        <v>150</v>
      </c>
      <c r="E491" s="23">
        <v>145</v>
      </c>
      <c r="F491" s="23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803</v>
      </c>
      <c r="B492">
        <v>6</v>
      </c>
      <c r="C492">
        <v>11</v>
      </c>
      <c r="D492" s="9" t="s">
        <v>67</v>
      </c>
      <c r="E492" s="23">
        <v>271</v>
      </c>
      <c r="F492" s="23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804</v>
      </c>
      <c r="B493">
        <v>6</v>
      </c>
      <c r="C493">
        <v>3</v>
      </c>
      <c r="D493" s="9" t="s">
        <v>221</v>
      </c>
      <c r="E493" s="23">
        <v>48</v>
      </c>
      <c r="F493" s="23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805</v>
      </c>
      <c r="B494">
        <v>8</v>
      </c>
      <c r="C494">
        <v>4</v>
      </c>
      <c r="D494" s="9" t="s">
        <v>18</v>
      </c>
      <c r="E494" s="23">
        <v>48</v>
      </c>
      <c r="F494" s="23"/>
      <c r="G494" s="1">
        <v>60</v>
      </c>
      <c r="H494" s="8" t="s">
        <v>289</v>
      </c>
      <c r="I494" s="1">
        <v>80</v>
      </c>
      <c r="J494" s="8" t="s">
        <v>290</v>
      </c>
      <c r="K494" s="1">
        <v>4</v>
      </c>
      <c r="L494" s="8" t="s">
        <v>291</v>
      </c>
    </row>
    <row r="495" spans="1:12" x14ac:dyDescent="0.2">
      <c r="A495" t="s">
        <v>806</v>
      </c>
      <c r="B495">
        <v>6</v>
      </c>
      <c r="C495">
        <v>3</v>
      </c>
      <c r="D495" s="9" t="s">
        <v>79</v>
      </c>
      <c r="E495" s="23">
        <v>127</v>
      </c>
      <c r="F495" s="23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807</v>
      </c>
      <c r="B496">
        <v>8</v>
      </c>
      <c r="C496">
        <v>5</v>
      </c>
      <c r="D496" s="9" t="s">
        <v>29</v>
      </c>
      <c r="E496" s="23">
        <v>242</v>
      </c>
      <c r="F496" s="23"/>
      <c r="G496" s="1">
        <v>60</v>
      </c>
      <c r="H496" s="8" t="s">
        <v>289</v>
      </c>
      <c r="I496" s="1">
        <v>80</v>
      </c>
      <c r="J496" s="8" t="s">
        <v>290</v>
      </c>
      <c r="K496" s="1">
        <v>5</v>
      </c>
      <c r="L496" s="8" t="s">
        <v>291</v>
      </c>
    </row>
    <row r="497" spans="1:12" x14ac:dyDescent="0.2">
      <c r="A497" t="s">
        <v>808</v>
      </c>
      <c r="B497">
        <v>8</v>
      </c>
      <c r="C497">
        <v>4</v>
      </c>
      <c r="D497" s="9" t="s">
        <v>29</v>
      </c>
      <c r="E497" s="23">
        <v>118</v>
      </c>
      <c r="F497" s="23"/>
      <c r="G497" s="1">
        <v>60</v>
      </c>
      <c r="H497" s="8" t="s">
        <v>289</v>
      </c>
      <c r="I497" s="1">
        <v>80</v>
      </c>
      <c r="J497" s="8" t="s">
        <v>290</v>
      </c>
      <c r="K497" s="1">
        <v>4</v>
      </c>
      <c r="L497" s="8" t="s">
        <v>291</v>
      </c>
    </row>
    <row r="498" spans="1:12" x14ac:dyDescent="0.2">
      <c r="A498" t="s">
        <v>809</v>
      </c>
      <c r="B498">
        <v>6</v>
      </c>
      <c r="C498">
        <v>8</v>
      </c>
      <c r="D498" s="9" t="s">
        <v>81</v>
      </c>
      <c r="E498" s="23">
        <v>408</v>
      </c>
      <c r="F498" s="23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810</v>
      </c>
      <c r="B499">
        <v>6</v>
      </c>
      <c r="C499">
        <v>3</v>
      </c>
      <c r="D499" s="9" t="s">
        <v>64</v>
      </c>
      <c r="E499" s="23">
        <v>48</v>
      </c>
      <c r="F499" s="23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811</v>
      </c>
      <c r="B500">
        <v>8</v>
      </c>
      <c r="C500">
        <v>7</v>
      </c>
      <c r="D500" s="9" t="s">
        <v>224</v>
      </c>
      <c r="E500" s="23">
        <v>160</v>
      </c>
      <c r="F500" s="23"/>
      <c r="G500" s="1">
        <v>60</v>
      </c>
      <c r="H500" s="8" t="s">
        <v>173</v>
      </c>
      <c r="I500" s="1">
        <v>90</v>
      </c>
      <c r="J500" s="8" t="s">
        <v>293</v>
      </c>
      <c r="K500" s="1">
        <v>6</v>
      </c>
      <c r="L500" s="8" t="s">
        <v>291</v>
      </c>
    </row>
    <row r="501" spans="1:12" x14ac:dyDescent="0.2">
      <c r="A501" t="s">
        <v>812</v>
      </c>
      <c r="B501">
        <v>6</v>
      </c>
      <c r="C501">
        <v>6</v>
      </c>
      <c r="D501" s="9" t="s">
        <v>46</v>
      </c>
      <c r="E501" s="23">
        <v>418</v>
      </c>
      <c r="F501" s="23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813</v>
      </c>
      <c r="B502">
        <v>8</v>
      </c>
      <c r="C502">
        <v>7</v>
      </c>
      <c r="D502" s="9" t="s">
        <v>224</v>
      </c>
      <c r="E502" s="23">
        <v>77</v>
      </c>
      <c r="F502" s="23"/>
      <c r="G502" s="1">
        <v>60</v>
      </c>
      <c r="H502" s="8" t="s">
        <v>172</v>
      </c>
      <c r="I502" s="1">
        <v>80</v>
      </c>
      <c r="J502" s="8" t="s">
        <v>292</v>
      </c>
      <c r="K502" s="1">
        <v>1</v>
      </c>
      <c r="L502" s="1"/>
    </row>
    <row r="503" spans="1:12" x14ac:dyDescent="0.2">
      <c r="A503" t="s">
        <v>814</v>
      </c>
      <c r="B503">
        <v>6</v>
      </c>
      <c r="C503">
        <v>4</v>
      </c>
      <c r="D503" s="9" t="s">
        <v>76</v>
      </c>
      <c r="E503" s="23">
        <v>118</v>
      </c>
      <c r="F503" s="23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815</v>
      </c>
      <c r="B504">
        <v>8</v>
      </c>
      <c r="C504">
        <v>13</v>
      </c>
      <c r="D504" s="9" t="s">
        <v>16</v>
      </c>
      <c r="E504" s="23">
        <v>717</v>
      </c>
      <c r="F504" s="23"/>
      <c r="G504" s="1">
        <v>75</v>
      </c>
      <c r="H504" s="8" t="s">
        <v>274</v>
      </c>
      <c r="I504" s="1">
        <v>75</v>
      </c>
      <c r="J504" s="1"/>
      <c r="K504" s="1"/>
      <c r="L504" s="1"/>
    </row>
    <row r="505" spans="1:12" x14ac:dyDescent="0.2">
      <c r="A505" t="s">
        <v>816</v>
      </c>
      <c r="B505">
        <v>6</v>
      </c>
      <c r="C505">
        <v>3</v>
      </c>
      <c r="D505" s="9" t="s">
        <v>225</v>
      </c>
      <c r="E505" s="23">
        <v>47</v>
      </c>
      <c r="F505" s="23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817</v>
      </c>
      <c r="B506">
        <v>8</v>
      </c>
      <c r="C506">
        <v>7</v>
      </c>
      <c r="D506" s="9" t="s">
        <v>56</v>
      </c>
      <c r="E506" s="23">
        <v>628</v>
      </c>
      <c r="F506" s="23"/>
      <c r="G506" s="1">
        <v>60</v>
      </c>
      <c r="H506" s="8" t="s">
        <v>171</v>
      </c>
      <c r="I506" s="1">
        <v>85</v>
      </c>
      <c r="J506" s="8" t="s">
        <v>294</v>
      </c>
      <c r="K506" s="1">
        <v>4</v>
      </c>
      <c r="L506" s="8" t="s">
        <v>288</v>
      </c>
    </row>
    <row r="507" spans="1:12" x14ac:dyDescent="0.2">
      <c r="A507" t="s">
        <v>818</v>
      </c>
      <c r="B507">
        <v>6</v>
      </c>
      <c r="C507">
        <v>6</v>
      </c>
      <c r="D507" s="9" t="s">
        <v>24</v>
      </c>
      <c r="E507" s="23">
        <v>142</v>
      </c>
      <c r="F507" s="23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819</v>
      </c>
      <c r="B508">
        <v>8</v>
      </c>
      <c r="C508">
        <v>7</v>
      </c>
      <c r="D508" s="9" t="s">
        <v>85</v>
      </c>
      <c r="E508" s="23">
        <v>101</v>
      </c>
      <c r="F508" s="23"/>
      <c r="G508" s="1">
        <v>60</v>
      </c>
      <c r="H508" s="8" t="s">
        <v>172</v>
      </c>
      <c r="I508" s="1">
        <v>80</v>
      </c>
      <c r="J508" s="8" t="s">
        <v>292</v>
      </c>
      <c r="K508" s="1">
        <v>1</v>
      </c>
      <c r="L508" s="1"/>
    </row>
    <row r="509" spans="1:12" x14ac:dyDescent="0.2">
      <c r="A509" t="s">
        <v>820</v>
      </c>
      <c r="B509">
        <v>6</v>
      </c>
      <c r="C509">
        <v>12</v>
      </c>
      <c r="D509" s="9" t="s">
        <v>17</v>
      </c>
      <c r="E509" s="23">
        <v>514</v>
      </c>
      <c r="F509" s="23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821</v>
      </c>
      <c r="B510">
        <v>8</v>
      </c>
      <c r="C510">
        <v>3</v>
      </c>
      <c r="D510" s="9" t="s">
        <v>241</v>
      </c>
      <c r="E510" s="23">
        <v>20</v>
      </c>
      <c r="F510" s="23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822</v>
      </c>
      <c r="B511">
        <v>6</v>
      </c>
      <c r="C511">
        <v>3</v>
      </c>
      <c r="D511" s="9" t="s">
        <v>242</v>
      </c>
      <c r="E511" s="23">
        <v>18</v>
      </c>
      <c r="F511" s="23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822</v>
      </c>
      <c r="B512">
        <v>6</v>
      </c>
      <c r="C512">
        <v>5</v>
      </c>
      <c r="D512" s="9" t="s">
        <v>46</v>
      </c>
      <c r="E512" s="23">
        <v>21</v>
      </c>
      <c r="F512" s="23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823</v>
      </c>
      <c r="B513">
        <v>8</v>
      </c>
      <c r="C513">
        <v>7</v>
      </c>
      <c r="D513" s="9" t="s">
        <v>224</v>
      </c>
      <c r="E513" s="23">
        <v>75</v>
      </c>
      <c r="F513" s="23"/>
      <c r="G513" s="1">
        <v>60</v>
      </c>
      <c r="H513" s="8" t="s">
        <v>173</v>
      </c>
      <c r="I513" s="1">
        <v>90</v>
      </c>
      <c r="J513" s="8" t="s">
        <v>293</v>
      </c>
      <c r="K513" s="1">
        <v>8</v>
      </c>
      <c r="L513" s="8" t="s">
        <v>291</v>
      </c>
    </row>
    <row r="514" spans="1:12" x14ac:dyDescent="0.2">
      <c r="A514" t="s">
        <v>824</v>
      </c>
      <c r="B514">
        <v>6</v>
      </c>
      <c r="C514">
        <v>3</v>
      </c>
      <c r="D514" s="9" t="s">
        <v>243</v>
      </c>
      <c r="E514" s="23">
        <v>9</v>
      </c>
      <c r="F514" s="23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824</v>
      </c>
      <c r="B515">
        <v>6</v>
      </c>
      <c r="C515">
        <v>6</v>
      </c>
      <c r="D515" s="9" t="s">
        <v>76</v>
      </c>
      <c r="E515" s="23">
        <v>41</v>
      </c>
      <c r="F515" s="23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825</v>
      </c>
      <c r="B516">
        <v>8</v>
      </c>
      <c r="C516">
        <v>7</v>
      </c>
      <c r="D516" s="9" t="s">
        <v>78</v>
      </c>
      <c r="E516" s="23">
        <v>91</v>
      </c>
      <c r="F516" s="23"/>
      <c r="G516" s="1">
        <v>60</v>
      </c>
      <c r="H516" s="8" t="s">
        <v>172</v>
      </c>
      <c r="I516" s="1">
        <v>80</v>
      </c>
      <c r="J516" s="8" t="s">
        <v>292</v>
      </c>
      <c r="K516" s="1">
        <v>1</v>
      </c>
      <c r="L516" s="1"/>
    </row>
    <row r="517" spans="1:12" x14ac:dyDescent="0.2">
      <c r="A517" t="s">
        <v>826</v>
      </c>
      <c r="B517">
        <v>6</v>
      </c>
      <c r="C517">
        <v>4</v>
      </c>
      <c r="D517" s="9" t="s">
        <v>41</v>
      </c>
      <c r="E517" s="23">
        <v>8</v>
      </c>
      <c r="F517" s="23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826</v>
      </c>
      <c r="B518">
        <v>6</v>
      </c>
      <c r="C518">
        <v>3</v>
      </c>
      <c r="D518" s="9" t="s">
        <v>244</v>
      </c>
      <c r="E518" s="23">
        <v>0</v>
      </c>
      <c r="F518" s="23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827</v>
      </c>
      <c r="B519">
        <v>8</v>
      </c>
      <c r="C519">
        <v>12</v>
      </c>
      <c r="D519" s="9" t="s">
        <v>61</v>
      </c>
      <c r="E519" s="23">
        <v>74</v>
      </c>
      <c r="F519" s="23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828</v>
      </c>
      <c r="B520">
        <v>6</v>
      </c>
      <c r="C520">
        <v>4</v>
      </c>
      <c r="D520" s="9" t="s">
        <v>52</v>
      </c>
      <c r="E520" s="23">
        <v>51</v>
      </c>
      <c r="F520" s="23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829</v>
      </c>
      <c r="B521">
        <v>8</v>
      </c>
      <c r="C521">
        <v>4</v>
      </c>
      <c r="D521" s="9" t="s">
        <v>76</v>
      </c>
      <c r="E521" s="23">
        <v>16</v>
      </c>
      <c r="F521" s="23"/>
      <c r="G521" s="1">
        <v>60</v>
      </c>
      <c r="H521" s="8" t="s">
        <v>289</v>
      </c>
      <c r="I521" s="1">
        <v>80</v>
      </c>
      <c r="J521" s="8" t="s">
        <v>290</v>
      </c>
      <c r="K521" s="1">
        <v>6</v>
      </c>
      <c r="L521" s="8" t="s">
        <v>291</v>
      </c>
    </row>
    <row r="522" spans="1:12" x14ac:dyDescent="0.2">
      <c r="A522" t="s">
        <v>830</v>
      </c>
      <c r="B522">
        <v>6</v>
      </c>
      <c r="C522">
        <v>3</v>
      </c>
      <c r="D522" s="9" t="s">
        <v>29</v>
      </c>
      <c r="E522" s="23">
        <v>64</v>
      </c>
      <c r="F522" s="23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831</v>
      </c>
      <c r="B523">
        <v>8</v>
      </c>
      <c r="C523">
        <v>5</v>
      </c>
      <c r="D523" s="9" t="s">
        <v>63</v>
      </c>
      <c r="E523" s="23">
        <v>91</v>
      </c>
      <c r="F523" s="23">
        <v>135</v>
      </c>
      <c r="G523" s="1">
        <v>60</v>
      </c>
      <c r="H523" s="8" t="s">
        <v>289</v>
      </c>
      <c r="I523" s="1">
        <v>80</v>
      </c>
      <c r="J523" s="8" t="s">
        <v>290</v>
      </c>
      <c r="K523" s="1">
        <v>8</v>
      </c>
      <c r="L523" s="8" t="s">
        <v>291</v>
      </c>
    </row>
    <row r="524" spans="1:12" x14ac:dyDescent="0.2">
      <c r="A524" t="s">
        <v>832</v>
      </c>
      <c r="B524">
        <v>6</v>
      </c>
      <c r="C524">
        <v>3</v>
      </c>
      <c r="D524" s="9" t="s">
        <v>247</v>
      </c>
      <c r="E524" s="23">
        <v>135</v>
      </c>
      <c r="F524" s="23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833</v>
      </c>
      <c r="B525">
        <v>5</v>
      </c>
      <c r="C525">
        <v>4</v>
      </c>
      <c r="D525" s="9" t="s">
        <v>77</v>
      </c>
      <c r="E525" s="23">
        <v>84</v>
      </c>
      <c r="F525" s="23">
        <v>130</v>
      </c>
      <c r="G525" s="1">
        <v>60</v>
      </c>
      <c r="H525" s="8" t="s">
        <v>289</v>
      </c>
      <c r="I525" s="1">
        <v>80</v>
      </c>
      <c r="J525" s="8" t="s">
        <v>290</v>
      </c>
      <c r="K525" s="1">
        <v>6</v>
      </c>
      <c r="L525" s="8" t="s">
        <v>291</v>
      </c>
    </row>
    <row r="526" spans="1:12" x14ac:dyDescent="0.2">
      <c r="A526" t="s">
        <v>834</v>
      </c>
      <c r="B526">
        <v>9</v>
      </c>
      <c r="C526">
        <v>6</v>
      </c>
      <c r="D526" s="9" t="s">
        <v>249</v>
      </c>
      <c r="E526" s="23">
        <v>1246</v>
      </c>
      <c r="F526" s="23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835</v>
      </c>
      <c r="B527">
        <v>8</v>
      </c>
      <c r="C527">
        <v>7</v>
      </c>
      <c r="D527" s="9" t="s">
        <v>77</v>
      </c>
      <c r="E527" s="23">
        <v>305</v>
      </c>
      <c r="F527" s="23">
        <v>136</v>
      </c>
      <c r="G527" s="1">
        <v>60</v>
      </c>
      <c r="H527" s="8" t="s">
        <v>171</v>
      </c>
      <c r="I527" s="1">
        <v>85</v>
      </c>
      <c r="J527" s="8" t="s">
        <v>294</v>
      </c>
      <c r="K527" s="1">
        <v>3</v>
      </c>
      <c r="L527" s="8" t="s">
        <v>288</v>
      </c>
    </row>
    <row r="528" spans="1:12" x14ac:dyDescent="0.2">
      <c r="A528" t="s">
        <v>836</v>
      </c>
      <c r="B528">
        <v>6</v>
      </c>
      <c r="C528">
        <v>6</v>
      </c>
      <c r="D528" s="9" t="s">
        <v>24</v>
      </c>
      <c r="E528" s="23">
        <v>141</v>
      </c>
      <c r="F528" s="23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837</v>
      </c>
      <c r="B529">
        <v>5</v>
      </c>
      <c r="C529">
        <v>8</v>
      </c>
      <c r="D529" s="9" t="s">
        <v>8</v>
      </c>
      <c r="E529" s="23">
        <v>141</v>
      </c>
      <c r="F529" s="23">
        <v>121</v>
      </c>
      <c r="G529" s="1">
        <v>60</v>
      </c>
      <c r="H529" s="8" t="s">
        <v>172</v>
      </c>
      <c r="I529" s="1">
        <v>80</v>
      </c>
      <c r="J529" s="8" t="s">
        <v>292</v>
      </c>
      <c r="K529" s="1">
        <v>1</v>
      </c>
      <c r="L529" s="1"/>
    </row>
    <row r="530" spans="1:12" x14ac:dyDescent="0.2">
      <c r="A530" t="s">
        <v>838</v>
      </c>
      <c r="B530">
        <v>6</v>
      </c>
      <c r="C530">
        <v>4</v>
      </c>
      <c r="D530" s="9" t="s">
        <v>67</v>
      </c>
      <c r="E530" s="23">
        <v>129</v>
      </c>
      <c r="F530" s="23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839</v>
      </c>
      <c r="B531">
        <v>8</v>
      </c>
      <c r="C531">
        <v>5</v>
      </c>
      <c r="D531" s="9" t="s">
        <v>75</v>
      </c>
      <c r="E531" s="23">
        <v>123</v>
      </c>
      <c r="F531" s="23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840</v>
      </c>
      <c r="B532">
        <v>6</v>
      </c>
      <c r="C532">
        <v>13</v>
      </c>
      <c r="D532" s="9" t="s">
        <v>29</v>
      </c>
      <c r="E532" s="23">
        <v>288</v>
      </c>
      <c r="F532" s="23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841</v>
      </c>
      <c r="B533">
        <v>5</v>
      </c>
      <c r="C533">
        <v>7</v>
      </c>
      <c r="D533" s="9" t="s">
        <v>89</v>
      </c>
      <c r="E533" s="23">
        <v>315</v>
      </c>
      <c r="F533" s="23">
        <v>117</v>
      </c>
      <c r="G533" s="1">
        <v>60</v>
      </c>
      <c r="H533" s="8" t="s">
        <v>173</v>
      </c>
      <c r="I533" s="1">
        <v>90</v>
      </c>
      <c r="J533" s="8" t="s">
        <v>293</v>
      </c>
      <c r="K533" s="1">
        <v>8</v>
      </c>
      <c r="L533" s="8" t="s">
        <v>291</v>
      </c>
    </row>
    <row r="534" spans="1:12" x14ac:dyDescent="0.2">
      <c r="A534" t="s">
        <v>842</v>
      </c>
      <c r="B534">
        <v>6</v>
      </c>
      <c r="C534">
        <v>6</v>
      </c>
      <c r="D534" s="9" t="s">
        <v>92</v>
      </c>
      <c r="E534" s="23">
        <v>92</v>
      </c>
      <c r="F534" s="23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843</v>
      </c>
      <c r="B535">
        <v>8</v>
      </c>
      <c r="C535">
        <v>8</v>
      </c>
      <c r="D535" s="9" t="s">
        <v>25</v>
      </c>
      <c r="E535" s="23">
        <v>104</v>
      </c>
      <c r="F535" s="23">
        <v>118</v>
      </c>
      <c r="G535" s="1">
        <v>60</v>
      </c>
      <c r="H535" s="8" t="s">
        <v>172</v>
      </c>
      <c r="I535" s="1">
        <v>80</v>
      </c>
      <c r="J535" s="8" t="s">
        <v>292</v>
      </c>
      <c r="K535" s="1">
        <v>1</v>
      </c>
      <c r="L535" s="1"/>
    </row>
    <row r="536" spans="1:12" x14ac:dyDescent="0.2">
      <c r="A536" t="s">
        <v>844</v>
      </c>
      <c r="B536">
        <v>4</v>
      </c>
      <c r="C536">
        <v>3.7</v>
      </c>
      <c r="D536" s="9" t="s">
        <v>19</v>
      </c>
      <c r="E536" s="23">
        <v>101</v>
      </c>
      <c r="F536" s="23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845</v>
      </c>
      <c r="B537">
        <v>5</v>
      </c>
      <c r="C537">
        <v>5</v>
      </c>
      <c r="D537" s="9" t="s">
        <v>25</v>
      </c>
      <c r="E537" s="23">
        <v>128</v>
      </c>
      <c r="F537" s="23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846</v>
      </c>
      <c r="B538">
        <v>6</v>
      </c>
      <c r="C538">
        <v>13</v>
      </c>
      <c r="D538" s="9" t="s">
        <v>241</v>
      </c>
      <c r="E538" s="23">
        <v>411</v>
      </c>
      <c r="F538" s="23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847</v>
      </c>
      <c r="B539">
        <v>8</v>
      </c>
      <c r="C539">
        <v>7</v>
      </c>
      <c r="D539" s="9" t="s">
        <v>17</v>
      </c>
      <c r="E539" s="23">
        <v>132</v>
      </c>
      <c r="F539" s="23">
        <v>131</v>
      </c>
      <c r="G539" s="1">
        <v>60</v>
      </c>
      <c r="H539" s="8" t="s">
        <v>171</v>
      </c>
      <c r="I539" s="1">
        <v>85</v>
      </c>
      <c r="J539" s="8" t="s">
        <v>294</v>
      </c>
      <c r="K539" s="1">
        <v>3</v>
      </c>
      <c r="L539" s="8" t="s">
        <v>288</v>
      </c>
    </row>
    <row r="540" spans="1:12" x14ac:dyDescent="0.2">
      <c r="A540" t="s">
        <v>848</v>
      </c>
      <c r="B540">
        <v>4</v>
      </c>
      <c r="C540">
        <v>6</v>
      </c>
      <c r="D540" s="9" t="s">
        <v>50</v>
      </c>
      <c r="E540" s="23">
        <v>148</v>
      </c>
      <c r="F540" s="23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849</v>
      </c>
      <c r="B541">
        <v>5</v>
      </c>
      <c r="C541">
        <v>6</v>
      </c>
      <c r="D541" s="9" t="s">
        <v>79</v>
      </c>
      <c r="E541" s="23">
        <v>98</v>
      </c>
      <c r="F541" s="23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850</v>
      </c>
      <c r="B542">
        <v>8</v>
      </c>
      <c r="C542">
        <v>10</v>
      </c>
      <c r="D542" s="9" t="s">
        <v>28</v>
      </c>
      <c r="E542" s="23">
        <v>158</v>
      </c>
      <c r="F542" s="23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851</v>
      </c>
      <c r="B543">
        <v>5</v>
      </c>
      <c r="C543">
        <v>5</v>
      </c>
      <c r="D543" s="9" t="s">
        <v>247</v>
      </c>
      <c r="E543" s="23">
        <v>154</v>
      </c>
      <c r="F543" s="23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852</v>
      </c>
      <c r="B544">
        <v>6</v>
      </c>
      <c r="C544">
        <v>4</v>
      </c>
      <c r="D544" s="9" t="s">
        <v>88</v>
      </c>
      <c r="E544" s="23">
        <v>48</v>
      </c>
      <c r="F544" s="23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853</v>
      </c>
      <c r="B545">
        <v>8</v>
      </c>
      <c r="C545">
        <v>5</v>
      </c>
      <c r="D545" s="9" t="s">
        <v>12</v>
      </c>
      <c r="E545" s="23">
        <v>136</v>
      </c>
      <c r="F545" s="23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854</v>
      </c>
      <c r="B546">
        <v>3</v>
      </c>
      <c r="C546">
        <v>3</v>
      </c>
      <c r="D546" s="9" t="s">
        <v>29</v>
      </c>
      <c r="E546" s="23">
        <v>46</v>
      </c>
      <c r="F546" s="23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855</v>
      </c>
      <c r="B547">
        <v>5</v>
      </c>
      <c r="C547">
        <v>5</v>
      </c>
      <c r="D547" s="9" t="s">
        <v>79</v>
      </c>
      <c r="E547" s="23">
        <v>283</v>
      </c>
      <c r="F547" s="23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856</v>
      </c>
      <c r="B548">
        <v>8</v>
      </c>
      <c r="C548">
        <v>7</v>
      </c>
      <c r="D548" s="9" t="s">
        <v>67</v>
      </c>
      <c r="E548" s="23">
        <v>143</v>
      </c>
      <c r="F548" s="23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857</v>
      </c>
      <c r="B549">
        <v>6</v>
      </c>
      <c r="C549">
        <v>6</v>
      </c>
      <c r="D549" s="9" t="s">
        <v>41</v>
      </c>
      <c r="E549" s="23">
        <v>249</v>
      </c>
      <c r="F549" s="23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858</v>
      </c>
      <c r="B550">
        <v>5</v>
      </c>
      <c r="C550">
        <v>8</v>
      </c>
      <c r="D550" s="9" t="s">
        <v>53</v>
      </c>
      <c r="E550" s="23">
        <v>141</v>
      </c>
      <c r="F550" s="23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859</v>
      </c>
      <c r="B551">
        <v>3</v>
      </c>
      <c r="C551">
        <v>4</v>
      </c>
      <c r="D551" s="9" t="s">
        <v>151</v>
      </c>
      <c r="E551" s="23">
        <v>113</v>
      </c>
      <c r="F551" s="23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860</v>
      </c>
      <c r="B552">
        <v>6</v>
      </c>
      <c r="C552">
        <v>5.5</v>
      </c>
      <c r="D552" s="9" t="s">
        <v>75</v>
      </c>
      <c r="E552" s="23">
        <v>217</v>
      </c>
      <c r="F552" s="23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861</v>
      </c>
      <c r="B553">
        <v>3</v>
      </c>
      <c r="C553">
        <v>13</v>
      </c>
      <c r="D553" s="9" t="s">
        <v>52</v>
      </c>
      <c r="E553" s="23">
        <v>306</v>
      </c>
      <c r="F553" s="23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862</v>
      </c>
      <c r="B554">
        <v>8</v>
      </c>
      <c r="C554">
        <v>7</v>
      </c>
      <c r="D554" s="9" t="s">
        <v>55</v>
      </c>
      <c r="E554" s="23">
        <v>139</v>
      </c>
      <c r="F554" s="23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863</v>
      </c>
      <c r="B555">
        <v>6</v>
      </c>
      <c r="C555">
        <v>6</v>
      </c>
      <c r="D555" s="9" t="s">
        <v>19</v>
      </c>
      <c r="E555" s="23">
        <v>140</v>
      </c>
      <c r="F555" s="23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864</v>
      </c>
      <c r="B556">
        <v>5</v>
      </c>
      <c r="C556">
        <v>8</v>
      </c>
      <c r="D556" s="9" t="s">
        <v>64</v>
      </c>
      <c r="E556" s="23">
        <v>111</v>
      </c>
      <c r="F556" s="23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865</v>
      </c>
      <c r="B557">
        <v>3</v>
      </c>
      <c r="C557">
        <v>4</v>
      </c>
      <c r="D557" s="9" t="s">
        <v>61</v>
      </c>
      <c r="E557" s="23">
        <v>98</v>
      </c>
      <c r="F557" s="23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866</v>
      </c>
      <c r="B558">
        <v>8</v>
      </c>
      <c r="C558">
        <v>5</v>
      </c>
      <c r="D558" s="9" t="s">
        <v>99</v>
      </c>
      <c r="E558" s="23">
        <v>75</v>
      </c>
      <c r="F558" s="23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867</v>
      </c>
      <c r="B559">
        <v>5</v>
      </c>
      <c r="C559">
        <v>13</v>
      </c>
      <c r="D559" s="9" t="s">
        <v>254</v>
      </c>
      <c r="E559" s="23">
        <v>356</v>
      </c>
      <c r="F559" s="23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868</v>
      </c>
      <c r="B560">
        <v>8</v>
      </c>
      <c r="C560">
        <v>7</v>
      </c>
      <c r="D560" s="9" t="s">
        <v>108</v>
      </c>
      <c r="E560" s="23">
        <v>131</v>
      </c>
      <c r="F560" s="23">
        <v>155</v>
      </c>
      <c r="G560" s="1">
        <v>60</v>
      </c>
      <c r="H560" s="8" t="s">
        <v>173</v>
      </c>
      <c r="I560" s="1">
        <v>90</v>
      </c>
      <c r="J560" s="8" t="s">
        <v>293</v>
      </c>
      <c r="K560" s="1">
        <v>8</v>
      </c>
      <c r="L560" s="8" t="s">
        <v>291</v>
      </c>
    </row>
    <row r="561" spans="1:12" x14ac:dyDescent="0.2">
      <c r="A561" t="s">
        <v>869</v>
      </c>
      <c r="B561">
        <v>5</v>
      </c>
      <c r="C561">
        <v>8</v>
      </c>
      <c r="D561" s="9" t="s">
        <v>47</v>
      </c>
      <c r="E561" s="23">
        <v>99</v>
      </c>
      <c r="F561" s="23">
        <v>154</v>
      </c>
      <c r="G561" s="1">
        <v>60</v>
      </c>
      <c r="H561" s="8" t="s">
        <v>222</v>
      </c>
      <c r="I561" s="1">
        <v>85</v>
      </c>
      <c r="J561" s="1"/>
      <c r="K561" s="1">
        <v>8</v>
      </c>
      <c r="L561" s="1"/>
    </row>
    <row r="562" spans="1:12" x14ac:dyDescent="0.2">
      <c r="A562" t="s">
        <v>870</v>
      </c>
      <c r="B562">
        <v>3</v>
      </c>
      <c r="C562">
        <v>10</v>
      </c>
      <c r="D562" s="9" t="s">
        <v>255</v>
      </c>
      <c r="E562" s="23">
        <v>421</v>
      </c>
      <c r="F562" s="23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871</v>
      </c>
      <c r="B563">
        <v>6</v>
      </c>
      <c r="C563">
        <v>6</v>
      </c>
      <c r="D563" s="9" t="s">
        <v>45</v>
      </c>
      <c r="E563" s="23">
        <v>141</v>
      </c>
      <c r="F563" s="23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872</v>
      </c>
      <c r="B564">
        <v>8</v>
      </c>
      <c r="C564">
        <v>4.7</v>
      </c>
      <c r="D564" s="9" t="s">
        <v>44</v>
      </c>
      <c r="E564" s="23">
        <v>221</v>
      </c>
      <c r="F564" s="23">
        <v>159</v>
      </c>
      <c r="G564" s="1">
        <v>60</v>
      </c>
      <c r="H564" s="8" t="s">
        <v>173</v>
      </c>
      <c r="I564" s="1">
        <v>90</v>
      </c>
      <c r="J564" s="8" t="s">
        <v>293</v>
      </c>
      <c r="K564" s="1">
        <v>6</v>
      </c>
      <c r="L564" s="8" t="s">
        <v>291</v>
      </c>
    </row>
    <row r="565" spans="1:12" x14ac:dyDescent="0.2">
      <c r="A565" t="s">
        <v>873</v>
      </c>
      <c r="B565">
        <v>3</v>
      </c>
      <c r="C565">
        <v>6</v>
      </c>
      <c r="D565" s="9" t="s">
        <v>44</v>
      </c>
      <c r="E565" s="23">
        <v>82</v>
      </c>
      <c r="F565" s="23">
        <v>151</v>
      </c>
      <c r="G565" s="1">
        <v>60</v>
      </c>
      <c r="H565" s="8" t="s">
        <v>172</v>
      </c>
      <c r="I565" s="1">
        <v>80</v>
      </c>
      <c r="J565" s="8" t="s">
        <v>295</v>
      </c>
      <c r="K565" s="1">
        <v>1</v>
      </c>
      <c r="L565" s="1"/>
    </row>
    <row r="566" spans="1:12" x14ac:dyDescent="0.2">
      <c r="A566" t="s">
        <v>874</v>
      </c>
      <c r="B566">
        <v>6</v>
      </c>
      <c r="C566">
        <v>6</v>
      </c>
      <c r="D566" s="9" t="s">
        <v>88</v>
      </c>
      <c r="E566" s="23">
        <v>249</v>
      </c>
      <c r="F566" s="23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875</v>
      </c>
      <c r="B567">
        <v>5</v>
      </c>
      <c r="C567">
        <v>14</v>
      </c>
      <c r="D567" s="9" t="s">
        <v>26</v>
      </c>
      <c r="E567" s="23">
        <v>309</v>
      </c>
      <c r="F567" s="23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876</v>
      </c>
      <c r="B568">
        <v>6</v>
      </c>
      <c r="C568">
        <v>5</v>
      </c>
      <c r="D568" s="9" t="s">
        <v>41</v>
      </c>
      <c r="E568" s="23">
        <v>128</v>
      </c>
      <c r="F568" s="23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877</v>
      </c>
      <c r="B569">
        <v>8</v>
      </c>
      <c r="C569">
        <v>5</v>
      </c>
      <c r="D569" s="9" t="s">
        <v>41</v>
      </c>
      <c r="E569" s="23">
        <v>68</v>
      </c>
      <c r="F569" s="23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878</v>
      </c>
      <c r="B570">
        <v>6</v>
      </c>
      <c r="C570">
        <v>5</v>
      </c>
      <c r="D570" s="9" t="s">
        <v>117</v>
      </c>
      <c r="E570" s="23">
        <v>166</v>
      </c>
      <c r="F570" s="23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879</v>
      </c>
      <c r="B571">
        <v>9</v>
      </c>
      <c r="C571">
        <v>4.83</v>
      </c>
      <c r="D571" s="9" t="s">
        <v>256</v>
      </c>
      <c r="E571" s="23">
        <v>920</v>
      </c>
      <c r="F571" s="23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880</v>
      </c>
      <c r="B572">
        <v>3</v>
      </c>
      <c r="C572">
        <v>6</v>
      </c>
      <c r="D572" s="9" t="s">
        <v>257</v>
      </c>
      <c r="E572" s="23">
        <v>167</v>
      </c>
      <c r="F572" s="23">
        <v>173</v>
      </c>
      <c r="G572" s="1">
        <v>85</v>
      </c>
      <c r="H572" s="8" t="s">
        <v>274</v>
      </c>
      <c r="I572" s="1">
        <v>85</v>
      </c>
      <c r="J572" s="1"/>
      <c r="K572" s="1"/>
      <c r="L572" s="1"/>
    </row>
    <row r="573" spans="1:12" x14ac:dyDescent="0.2">
      <c r="A573" t="s">
        <v>881</v>
      </c>
      <c r="B573">
        <v>6</v>
      </c>
      <c r="C573">
        <v>4</v>
      </c>
      <c r="D573" s="9" t="s">
        <v>81</v>
      </c>
      <c r="E573" s="23">
        <v>27</v>
      </c>
      <c r="F573" s="23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882</v>
      </c>
      <c r="B574">
        <v>8</v>
      </c>
      <c r="C574">
        <v>6</v>
      </c>
      <c r="D574" s="9" t="s">
        <v>87</v>
      </c>
      <c r="E574" s="23">
        <v>81</v>
      </c>
      <c r="F574" s="23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883</v>
      </c>
      <c r="B575">
        <v>5</v>
      </c>
      <c r="C575">
        <v>14</v>
      </c>
      <c r="D575" s="9" t="s">
        <v>26</v>
      </c>
      <c r="E575" s="23">
        <v>814</v>
      </c>
      <c r="F575" s="23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884</v>
      </c>
      <c r="B576">
        <v>6</v>
      </c>
      <c r="C576">
        <v>5</v>
      </c>
      <c r="D576" s="9" t="s">
        <v>117</v>
      </c>
      <c r="E576" s="23">
        <v>130</v>
      </c>
      <c r="F576" s="23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885</v>
      </c>
      <c r="B577">
        <v>8</v>
      </c>
      <c r="C577">
        <v>5</v>
      </c>
      <c r="D577" s="9" t="s">
        <v>41</v>
      </c>
      <c r="E577" s="23">
        <v>173</v>
      </c>
      <c r="F577" s="23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886</v>
      </c>
      <c r="B578">
        <v>6</v>
      </c>
      <c r="C578">
        <v>5</v>
      </c>
      <c r="D578" s="9" t="s">
        <v>25</v>
      </c>
      <c r="E578" s="23">
        <v>101</v>
      </c>
      <c r="F578" s="23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887</v>
      </c>
      <c r="B579">
        <v>5</v>
      </c>
      <c r="C579">
        <v>8</v>
      </c>
      <c r="D579" s="9" t="s">
        <v>71</v>
      </c>
      <c r="E579" s="23">
        <v>153</v>
      </c>
      <c r="F579" s="23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888</v>
      </c>
      <c r="B580">
        <v>6</v>
      </c>
      <c r="C580">
        <v>5</v>
      </c>
      <c r="D580" s="9" t="s">
        <v>75</v>
      </c>
      <c r="E580" s="22">
        <v>142</v>
      </c>
      <c r="F580" s="22">
        <v>149</v>
      </c>
      <c r="G580" s="1">
        <v>60</v>
      </c>
      <c r="H580" s="8" t="s">
        <v>222</v>
      </c>
      <c r="I580" s="1">
        <v>85</v>
      </c>
      <c r="J580" s="1"/>
      <c r="K580" s="1">
        <v>5</v>
      </c>
      <c r="L580" s="1"/>
    </row>
    <row r="581" spans="1:12" x14ac:dyDescent="0.2">
      <c r="A581" t="s">
        <v>889</v>
      </c>
      <c r="B581">
        <v>8</v>
      </c>
      <c r="C581">
        <v>6</v>
      </c>
      <c r="D581" s="9" t="s">
        <v>77</v>
      </c>
      <c r="E581" s="22">
        <v>95</v>
      </c>
      <c r="F581" s="22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890</v>
      </c>
      <c r="B582">
        <v>6</v>
      </c>
      <c r="C582">
        <v>6</v>
      </c>
      <c r="D582" s="9" t="s">
        <v>49</v>
      </c>
      <c r="E582" s="22">
        <v>104</v>
      </c>
      <c r="F582" s="22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891</v>
      </c>
      <c r="B583">
        <v>5</v>
      </c>
      <c r="C583">
        <v>15</v>
      </c>
      <c r="D583" s="9" t="s">
        <v>11</v>
      </c>
      <c r="E583" s="22">
        <v>329</v>
      </c>
      <c r="F583" s="22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892</v>
      </c>
      <c r="B584">
        <v>6</v>
      </c>
      <c r="C584">
        <v>5</v>
      </c>
      <c r="D584" s="9" t="s">
        <v>258</v>
      </c>
      <c r="E584" s="22">
        <v>130</v>
      </c>
      <c r="F584" s="22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893</v>
      </c>
      <c r="B585">
        <v>8</v>
      </c>
      <c r="C585">
        <v>6</v>
      </c>
      <c r="D585" s="9" t="s">
        <v>17</v>
      </c>
      <c r="E585" s="22">
        <v>246</v>
      </c>
      <c r="F585" s="22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894</v>
      </c>
      <c r="B586">
        <v>5</v>
      </c>
      <c r="C586">
        <v>10</v>
      </c>
      <c r="D586" s="9" t="s">
        <v>20</v>
      </c>
      <c r="E586" s="22">
        <v>138</v>
      </c>
      <c r="F586" s="22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895</v>
      </c>
      <c r="B587">
        <v>3</v>
      </c>
      <c r="C587">
        <v>6</v>
      </c>
      <c r="D587" s="9" t="s">
        <v>108</v>
      </c>
      <c r="E587" s="22">
        <v>256</v>
      </c>
      <c r="F587" s="22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896</v>
      </c>
      <c r="B588">
        <v>6</v>
      </c>
      <c r="C588">
        <v>6</v>
      </c>
      <c r="D588" s="9" t="s">
        <v>155</v>
      </c>
      <c r="E588" s="22">
        <v>92</v>
      </c>
      <c r="F588" s="22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897</v>
      </c>
      <c r="B589">
        <v>6</v>
      </c>
      <c r="C589">
        <v>5</v>
      </c>
      <c r="D589" s="9" t="s">
        <v>259</v>
      </c>
      <c r="E589" s="22">
        <v>49</v>
      </c>
      <c r="F589" s="22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898</v>
      </c>
      <c r="B590">
        <v>5</v>
      </c>
      <c r="C590">
        <v>6</v>
      </c>
      <c r="D590" s="9" t="s">
        <v>247</v>
      </c>
      <c r="E590" s="22">
        <v>250</v>
      </c>
      <c r="F590" s="22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899</v>
      </c>
      <c r="B591">
        <v>3</v>
      </c>
      <c r="C591">
        <v>6</v>
      </c>
      <c r="D591" s="9" t="s">
        <v>122</v>
      </c>
      <c r="E591" s="22">
        <v>104</v>
      </c>
      <c r="F591" s="22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900</v>
      </c>
      <c r="B592">
        <v>5</v>
      </c>
      <c r="C592">
        <v>10</v>
      </c>
      <c r="D592" s="9" t="s">
        <v>45</v>
      </c>
      <c r="E592" s="22">
        <v>212</v>
      </c>
      <c r="F592" s="22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901</v>
      </c>
      <c r="B593">
        <v>3</v>
      </c>
      <c r="C593">
        <v>6</v>
      </c>
      <c r="D593" s="9" t="s">
        <v>260</v>
      </c>
      <c r="E593" s="22">
        <v>241</v>
      </c>
      <c r="F593" s="22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902</v>
      </c>
      <c r="B594">
        <v>5</v>
      </c>
      <c r="C594">
        <v>5</v>
      </c>
      <c r="D594" s="9" t="s">
        <v>47</v>
      </c>
      <c r="E594" s="22">
        <v>168</v>
      </c>
      <c r="F594" s="22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903</v>
      </c>
      <c r="B595">
        <v>3</v>
      </c>
      <c r="C595">
        <v>6</v>
      </c>
      <c r="D595" s="9" t="s">
        <v>26</v>
      </c>
      <c r="E595" s="22">
        <v>139</v>
      </c>
      <c r="F595" s="22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904</v>
      </c>
      <c r="B596">
        <v>5</v>
      </c>
      <c r="C596">
        <v>10</v>
      </c>
      <c r="D596" s="9" t="s">
        <v>261</v>
      </c>
      <c r="E596" s="22">
        <v>178</v>
      </c>
      <c r="F596" s="22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905</v>
      </c>
      <c r="B597">
        <v>3</v>
      </c>
      <c r="C597">
        <v>6</v>
      </c>
      <c r="D597" s="9" t="s">
        <v>118</v>
      </c>
      <c r="E597" s="22">
        <v>100</v>
      </c>
      <c r="F597" s="22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906</v>
      </c>
      <c r="B598">
        <v>5</v>
      </c>
      <c r="C598">
        <v>5</v>
      </c>
      <c r="D598" s="9" t="s">
        <v>54</v>
      </c>
      <c r="E598" s="22">
        <v>131</v>
      </c>
      <c r="F598" s="22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907</v>
      </c>
      <c r="B599">
        <v>3</v>
      </c>
      <c r="C599">
        <v>6</v>
      </c>
      <c r="D599" s="9" t="s">
        <v>86</v>
      </c>
      <c r="E599" s="22">
        <v>158</v>
      </c>
      <c r="F599" s="22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908</v>
      </c>
      <c r="B600">
        <v>5</v>
      </c>
      <c r="C600">
        <v>11</v>
      </c>
      <c r="D600" s="9" t="s">
        <v>136</v>
      </c>
      <c r="E600" s="22">
        <v>231</v>
      </c>
      <c r="F600" s="22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909</v>
      </c>
      <c r="B601">
        <v>3</v>
      </c>
      <c r="C601">
        <v>4</v>
      </c>
      <c r="D601" s="9" t="s">
        <v>22</v>
      </c>
      <c r="E601" s="22">
        <v>104</v>
      </c>
      <c r="F601" s="22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910</v>
      </c>
      <c r="B602">
        <v>5</v>
      </c>
      <c r="C602">
        <v>3</v>
      </c>
      <c r="D602" s="9" t="s">
        <v>28</v>
      </c>
      <c r="E602" s="22">
        <v>50</v>
      </c>
      <c r="F602" s="22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911</v>
      </c>
      <c r="B603">
        <v>3</v>
      </c>
      <c r="C603">
        <v>4</v>
      </c>
      <c r="D603" s="9" t="s">
        <v>50</v>
      </c>
      <c r="E603" s="22">
        <v>138</v>
      </c>
      <c r="F603" s="22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912</v>
      </c>
      <c r="B604">
        <v>5</v>
      </c>
      <c r="C604">
        <v>3</v>
      </c>
      <c r="D604" s="9" t="s">
        <v>67</v>
      </c>
      <c r="E604" s="22">
        <v>56</v>
      </c>
      <c r="F604" s="22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913</v>
      </c>
      <c r="B605">
        <v>3</v>
      </c>
      <c r="C605">
        <v>4</v>
      </c>
      <c r="D605" s="9" t="s">
        <v>55</v>
      </c>
      <c r="E605" s="22">
        <v>77</v>
      </c>
      <c r="F605" s="22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914</v>
      </c>
      <c r="B606">
        <v>5</v>
      </c>
      <c r="C606">
        <v>10</v>
      </c>
      <c r="D606" s="9" t="s">
        <v>129</v>
      </c>
      <c r="E606" s="22">
        <v>748</v>
      </c>
      <c r="F606" s="22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915</v>
      </c>
      <c r="B607">
        <v>5</v>
      </c>
      <c r="C607">
        <v>4</v>
      </c>
      <c r="D607" s="9" t="s">
        <v>61</v>
      </c>
      <c r="E607" s="22">
        <v>142</v>
      </c>
      <c r="F607" s="22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916</v>
      </c>
      <c r="B608">
        <v>3</v>
      </c>
      <c r="C608">
        <v>3</v>
      </c>
      <c r="D608" s="9" t="s">
        <v>52</v>
      </c>
      <c r="E608" s="22">
        <v>51</v>
      </c>
      <c r="F608" s="22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917</v>
      </c>
      <c r="B609">
        <v>5</v>
      </c>
      <c r="C609">
        <v>5</v>
      </c>
      <c r="D609" s="9" t="s">
        <v>17</v>
      </c>
      <c r="E609" s="22">
        <v>183</v>
      </c>
      <c r="F609" s="22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918</v>
      </c>
      <c r="B610">
        <v>3</v>
      </c>
      <c r="C610">
        <v>3</v>
      </c>
      <c r="D610" s="9" t="s">
        <v>58</v>
      </c>
      <c r="E610" s="22">
        <v>48</v>
      </c>
      <c r="F610" s="22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919</v>
      </c>
      <c r="B611">
        <v>5</v>
      </c>
      <c r="C611">
        <v>4</v>
      </c>
      <c r="D611" s="9" t="s">
        <v>16</v>
      </c>
      <c r="E611" s="22">
        <v>71</v>
      </c>
      <c r="F611" s="22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920</v>
      </c>
      <c r="B612">
        <v>3</v>
      </c>
      <c r="C612">
        <v>11</v>
      </c>
      <c r="D612" s="9" t="s">
        <v>26</v>
      </c>
      <c r="E612" s="22">
        <v>283</v>
      </c>
      <c r="F612" s="22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921</v>
      </c>
      <c r="B613">
        <v>3</v>
      </c>
      <c r="C613">
        <v>4</v>
      </c>
      <c r="D613" s="9" t="s">
        <v>18</v>
      </c>
      <c r="E613" s="22">
        <v>128</v>
      </c>
      <c r="F613" s="22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922</v>
      </c>
      <c r="B614">
        <v>5</v>
      </c>
      <c r="C614">
        <v>3</v>
      </c>
      <c r="D614" s="9" t="s">
        <v>247</v>
      </c>
      <c r="E614" s="22">
        <v>10</v>
      </c>
      <c r="F614" s="22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923</v>
      </c>
      <c r="B615">
        <v>2</v>
      </c>
      <c r="C615">
        <v>4</v>
      </c>
      <c r="D615" s="9" t="s">
        <v>20</v>
      </c>
      <c r="E615" s="22">
        <v>129</v>
      </c>
      <c r="F615" s="22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924</v>
      </c>
      <c r="B616">
        <v>2</v>
      </c>
      <c r="C616">
        <v>9</v>
      </c>
      <c r="D616" s="9" t="s">
        <v>54</v>
      </c>
      <c r="E616" s="22">
        <v>165</v>
      </c>
      <c r="F616" s="22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925</v>
      </c>
      <c r="B617">
        <v>3</v>
      </c>
      <c r="C617">
        <v>5</v>
      </c>
      <c r="D617" s="9" t="s">
        <v>241</v>
      </c>
      <c r="E617" s="22">
        <v>205</v>
      </c>
      <c r="F617" s="22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926</v>
      </c>
      <c r="B618">
        <v>5</v>
      </c>
      <c r="C618">
        <v>3</v>
      </c>
      <c r="D618" s="9" t="s">
        <v>264</v>
      </c>
      <c r="E618" s="22">
        <v>49</v>
      </c>
      <c r="F618" s="22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927</v>
      </c>
      <c r="B619">
        <v>3</v>
      </c>
      <c r="C619">
        <v>5</v>
      </c>
      <c r="D619" s="9" t="s">
        <v>61</v>
      </c>
      <c r="E619" s="22">
        <v>176</v>
      </c>
      <c r="F619" s="22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928</v>
      </c>
      <c r="B620">
        <v>5</v>
      </c>
      <c r="C620">
        <v>3</v>
      </c>
      <c r="D620" s="9" t="s">
        <v>97</v>
      </c>
      <c r="E620" s="22">
        <v>11</v>
      </c>
      <c r="F620" s="22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929</v>
      </c>
      <c r="B621">
        <v>3</v>
      </c>
      <c r="C621">
        <v>4</v>
      </c>
      <c r="D621" s="9" t="s">
        <v>47</v>
      </c>
      <c r="E621" s="22">
        <v>133</v>
      </c>
      <c r="F621" s="22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930</v>
      </c>
      <c r="B622">
        <v>5</v>
      </c>
      <c r="C622">
        <v>12</v>
      </c>
      <c r="D622" s="9" t="s">
        <v>53</v>
      </c>
      <c r="E622" s="22">
        <v>213</v>
      </c>
      <c r="F622" s="22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931</v>
      </c>
      <c r="B623">
        <v>5</v>
      </c>
      <c r="C623">
        <v>4</v>
      </c>
      <c r="D623" s="9" t="s">
        <v>67</v>
      </c>
      <c r="E623" s="22">
        <v>127</v>
      </c>
      <c r="F623" s="22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932</v>
      </c>
      <c r="B624">
        <v>3</v>
      </c>
      <c r="C624">
        <v>3</v>
      </c>
      <c r="D624" s="9" t="s">
        <v>150</v>
      </c>
      <c r="E624" s="22">
        <v>42</v>
      </c>
      <c r="F624" s="22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933</v>
      </c>
      <c r="B625">
        <v>5</v>
      </c>
      <c r="C625">
        <v>4</v>
      </c>
      <c r="D625" s="9" t="s">
        <v>46</v>
      </c>
      <c r="E625" s="22">
        <v>109</v>
      </c>
      <c r="F625" s="22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934</v>
      </c>
      <c r="B626">
        <v>3</v>
      </c>
      <c r="C626">
        <v>3</v>
      </c>
      <c r="D626" s="9" t="s">
        <v>155</v>
      </c>
      <c r="E626" s="22">
        <v>12</v>
      </c>
      <c r="F626" s="22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935</v>
      </c>
      <c r="B627">
        <v>5</v>
      </c>
      <c r="C627">
        <v>4</v>
      </c>
      <c r="D627" s="9" t="s">
        <v>18</v>
      </c>
      <c r="E627" s="22">
        <v>126</v>
      </c>
      <c r="F627" s="22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936</v>
      </c>
      <c r="B628">
        <v>3</v>
      </c>
      <c r="C628">
        <v>10</v>
      </c>
      <c r="D628" s="9" t="s">
        <v>113</v>
      </c>
      <c r="E628" s="22">
        <v>756</v>
      </c>
      <c r="F628" s="22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937</v>
      </c>
      <c r="B629">
        <v>3</v>
      </c>
      <c r="C629">
        <v>5</v>
      </c>
      <c r="D629" s="9" t="s">
        <v>18</v>
      </c>
      <c r="E629" s="22">
        <v>62</v>
      </c>
      <c r="F629" s="22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938</v>
      </c>
      <c r="B630">
        <v>5</v>
      </c>
      <c r="C630">
        <v>3</v>
      </c>
      <c r="D630" s="9" t="s">
        <v>107</v>
      </c>
      <c r="E630" s="22">
        <v>50</v>
      </c>
      <c r="F630" s="22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939</v>
      </c>
      <c r="B631">
        <v>3</v>
      </c>
      <c r="C631">
        <v>5</v>
      </c>
      <c r="D631" s="9" t="s">
        <v>71</v>
      </c>
      <c r="E631" s="22">
        <v>177</v>
      </c>
      <c r="F631" s="22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940</v>
      </c>
      <c r="B632">
        <v>5</v>
      </c>
      <c r="C632">
        <v>3</v>
      </c>
      <c r="D632" s="9" t="s">
        <v>107</v>
      </c>
      <c r="E632" s="22">
        <v>26</v>
      </c>
      <c r="F632" s="22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941</v>
      </c>
      <c r="B633">
        <v>3</v>
      </c>
      <c r="C633">
        <v>4</v>
      </c>
      <c r="D633" s="9" t="s">
        <v>46</v>
      </c>
      <c r="E633" s="22">
        <v>120</v>
      </c>
      <c r="F633" s="22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942</v>
      </c>
      <c r="B634">
        <v>5</v>
      </c>
      <c r="C634">
        <v>13</v>
      </c>
      <c r="D634" s="9" t="s">
        <v>79</v>
      </c>
      <c r="E634" s="22">
        <v>396</v>
      </c>
      <c r="F634" s="22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943</v>
      </c>
      <c r="B635">
        <v>5</v>
      </c>
      <c r="C635">
        <v>4</v>
      </c>
      <c r="D635" s="9" t="s">
        <v>117</v>
      </c>
      <c r="E635" s="22">
        <v>8</v>
      </c>
      <c r="F635" s="22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944</v>
      </c>
      <c r="B636">
        <v>3</v>
      </c>
      <c r="C636">
        <v>3</v>
      </c>
      <c r="D636" s="9" t="s">
        <v>265</v>
      </c>
      <c r="E636" s="22">
        <v>10</v>
      </c>
      <c r="F636" s="22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945</v>
      </c>
      <c r="B637">
        <v>5</v>
      </c>
      <c r="C637">
        <v>4</v>
      </c>
      <c r="D637" s="9" t="s">
        <v>22</v>
      </c>
      <c r="E637" s="22">
        <v>137</v>
      </c>
      <c r="F637" s="22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946</v>
      </c>
      <c r="B638">
        <v>3</v>
      </c>
      <c r="C638">
        <v>4</v>
      </c>
      <c r="D638" s="9" t="s">
        <v>73</v>
      </c>
      <c r="E638" s="22">
        <v>118</v>
      </c>
      <c r="F638" s="22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947</v>
      </c>
      <c r="B639">
        <v>5</v>
      </c>
      <c r="C639">
        <v>4</v>
      </c>
      <c r="D639" s="9" t="s">
        <v>99</v>
      </c>
      <c r="E639" s="22">
        <v>128</v>
      </c>
      <c r="F639" s="22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948</v>
      </c>
      <c r="B640">
        <v>3</v>
      </c>
      <c r="C640">
        <v>8</v>
      </c>
      <c r="D640" s="9" t="s">
        <v>221</v>
      </c>
      <c r="E640" s="22">
        <v>156</v>
      </c>
      <c r="F640" s="22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949</v>
      </c>
      <c r="B641">
        <v>5</v>
      </c>
      <c r="C641">
        <v>3</v>
      </c>
      <c r="D641" s="9" t="s">
        <v>244</v>
      </c>
      <c r="E641" s="22">
        <v>53</v>
      </c>
      <c r="F641" s="22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950</v>
      </c>
      <c r="B642">
        <v>5</v>
      </c>
      <c r="C642">
        <v>4</v>
      </c>
      <c r="D642" s="9" t="s">
        <v>99</v>
      </c>
      <c r="E642" s="22">
        <v>67</v>
      </c>
      <c r="F642" s="22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951</v>
      </c>
      <c r="B643">
        <v>3</v>
      </c>
      <c r="C643">
        <v>4</v>
      </c>
      <c r="D643" s="9" t="s">
        <v>99</v>
      </c>
      <c r="E643" s="22">
        <v>94</v>
      </c>
      <c r="F643" s="22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952</v>
      </c>
      <c r="B644">
        <v>5</v>
      </c>
      <c r="C644">
        <v>8</v>
      </c>
      <c r="D644" s="9" t="s">
        <v>258</v>
      </c>
      <c r="E644" s="22">
        <v>155</v>
      </c>
      <c r="F644" s="22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953</v>
      </c>
      <c r="B645">
        <v>3</v>
      </c>
      <c r="C645">
        <v>5</v>
      </c>
      <c r="D645" s="9" t="s">
        <v>261</v>
      </c>
      <c r="E645" s="22">
        <v>144</v>
      </c>
      <c r="F645" s="22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954</v>
      </c>
      <c r="B646">
        <v>5</v>
      </c>
      <c r="C646">
        <v>3</v>
      </c>
      <c r="D646" s="9" t="s">
        <v>57</v>
      </c>
      <c r="E646" s="22">
        <v>58</v>
      </c>
      <c r="F646" s="22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955</v>
      </c>
      <c r="B647">
        <v>3</v>
      </c>
      <c r="C647">
        <v>5</v>
      </c>
      <c r="D647" s="9" t="s">
        <v>260</v>
      </c>
      <c r="E647" s="22">
        <v>180</v>
      </c>
      <c r="F647" s="22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956</v>
      </c>
      <c r="B648">
        <v>5</v>
      </c>
      <c r="C648">
        <v>3</v>
      </c>
      <c r="D648" s="9" t="s">
        <v>99</v>
      </c>
      <c r="E648" s="22">
        <v>0</v>
      </c>
      <c r="F648" s="22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957</v>
      </c>
      <c r="B649">
        <v>5</v>
      </c>
      <c r="C649">
        <v>5</v>
      </c>
      <c r="D649" s="9" t="s">
        <v>260</v>
      </c>
      <c r="E649" s="22">
        <v>80</v>
      </c>
      <c r="F649" s="22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958</v>
      </c>
      <c r="B650">
        <v>3</v>
      </c>
      <c r="C650">
        <v>10</v>
      </c>
      <c r="D650" s="9" t="s">
        <v>98</v>
      </c>
      <c r="E650" s="22">
        <v>287</v>
      </c>
      <c r="F650" s="22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959</v>
      </c>
      <c r="B651">
        <v>3</v>
      </c>
      <c r="C651">
        <v>5</v>
      </c>
      <c r="D651" s="9" t="s">
        <v>121</v>
      </c>
      <c r="E651" s="22">
        <v>145</v>
      </c>
      <c r="F651" s="22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960</v>
      </c>
      <c r="B652">
        <v>2</v>
      </c>
      <c r="C652">
        <v>3</v>
      </c>
      <c r="D652" s="9" t="s">
        <v>114</v>
      </c>
      <c r="E652" s="22">
        <v>58</v>
      </c>
      <c r="F652" s="22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961</v>
      </c>
      <c r="B653">
        <v>3</v>
      </c>
      <c r="C653">
        <v>6</v>
      </c>
      <c r="D653" s="9" t="s">
        <v>265</v>
      </c>
      <c r="E653" s="22">
        <v>239</v>
      </c>
      <c r="F653" s="22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962</v>
      </c>
      <c r="B654">
        <v>2</v>
      </c>
      <c r="C654">
        <v>3</v>
      </c>
      <c r="D654" s="9" t="s">
        <v>119</v>
      </c>
      <c r="E654" s="22">
        <v>10</v>
      </c>
      <c r="F654" s="22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963</v>
      </c>
      <c r="B655">
        <v>3</v>
      </c>
      <c r="C655">
        <v>5</v>
      </c>
      <c r="D655" s="9" t="s">
        <v>66</v>
      </c>
      <c r="E655" s="22">
        <v>73</v>
      </c>
      <c r="F655" s="22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964</v>
      </c>
      <c r="B656">
        <v>2</v>
      </c>
      <c r="C656">
        <v>12</v>
      </c>
      <c r="D656" s="9" t="s">
        <v>225</v>
      </c>
      <c r="E656" s="22">
        <v>210</v>
      </c>
      <c r="F656" s="22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965</v>
      </c>
      <c r="B657">
        <v>1</v>
      </c>
      <c r="C657">
        <v>5</v>
      </c>
      <c r="D657" s="9" t="s">
        <v>118</v>
      </c>
      <c r="E657" s="22">
        <v>140</v>
      </c>
      <c r="F657" s="22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966</v>
      </c>
      <c r="B658">
        <v>2</v>
      </c>
      <c r="C658">
        <v>4</v>
      </c>
      <c r="D658" s="9" t="s">
        <v>86</v>
      </c>
      <c r="E658" s="22">
        <v>121</v>
      </c>
      <c r="F658" s="22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967</v>
      </c>
      <c r="B659">
        <v>3</v>
      </c>
      <c r="C659">
        <v>6</v>
      </c>
      <c r="D659" s="9" t="s">
        <v>121</v>
      </c>
      <c r="E659" s="22">
        <v>80</v>
      </c>
      <c r="F659" s="22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968</v>
      </c>
      <c r="B660">
        <v>2</v>
      </c>
      <c r="C660">
        <v>14</v>
      </c>
      <c r="D660" s="9" t="s">
        <v>268</v>
      </c>
      <c r="E660" s="22">
        <v>308</v>
      </c>
      <c r="F660" s="22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969</v>
      </c>
      <c r="B661">
        <v>3</v>
      </c>
      <c r="C661">
        <v>3</v>
      </c>
      <c r="D661" s="9" t="s">
        <v>101</v>
      </c>
      <c r="E661" s="22">
        <v>125</v>
      </c>
      <c r="F661" s="22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970</v>
      </c>
      <c r="B662">
        <v>2</v>
      </c>
      <c r="C662">
        <v>3</v>
      </c>
      <c r="D662" s="9" t="s">
        <v>118</v>
      </c>
      <c r="E662" s="22">
        <v>44</v>
      </c>
      <c r="F662" s="22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971</v>
      </c>
      <c r="B663">
        <v>3</v>
      </c>
      <c r="C663">
        <v>4</v>
      </c>
      <c r="D663" s="9" t="s">
        <v>97</v>
      </c>
      <c r="E663" s="22">
        <v>102</v>
      </c>
      <c r="F663" s="22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972</v>
      </c>
      <c r="B664">
        <v>2</v>
      </c>
      <c r="C664">
        <v>3</v>
      </c>
      <c r="D664" s="9" t="s">
        <v>51</v>
      </c>
      <c r="E664" s="22">
        <v>21</v>
      </c>
      <c r="F664" s="22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973</v>
      </c>
      <c r="B665">
        <v>3</v>
      </c>
      <c r="C665">
        <v>4</v>
      </c>
      <c r="D665" s="9"/>
      <c r="E665" s="22"/>
      <c r="F665" s="22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974</v>
      </c>
      <c r="B666">
        <v>1</v>
      </c>
      <c r="C666">
        <v>10</v>
      </c>
      <c r="D666" s="9" t="s">
        <v>65</v>
      </c>
      <c r="E666" s="22">
        <v>203</v>
      </c>
      <c r="F666" s="22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975</v>
      </c>
      <c r="B667">
        <v>2</v>
      </c>
      <c r="C667">
        <v>6</v>
      </c>
      <c r="D667" s="9" t="s">
        <v>14</v>
      </c>
      <c r="E667" s="22">
        <v>99</v>
      </c>
      <c r="F667" s="22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976</v>
      </c>
      <c r="B668">
        <v>3</v>
      </c>
      <c r="C668">
        <v>3</v>
      </c>
      <c r="D668" s="9" t="s">
        <v>255</v>
      </c>
      <c r="E668" s="22">
        <v>42</v>
      </c>
      <c r="F668" s="22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977</v>
      </c>
      <c r="B669">
        <v>2</v>
      </c>
      <c r="C669">
        <v>6</v>
      </c>
      <c r="D669" s="9" t="s">
        <v>261</v>
      </c>
      <c r="E669" s="22">
        <v>200</v>
      </c>
      <c r="F669" s="22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978</v>
      </c>
      <c r="B670">
        <v>3</v>
      </c>
      <c r="C670">
        <v>5</v>
      </c>
      <c r="D670" s="9" t="s">
        <v>269</v>
      </c>
      <c r="E670" s="22">
        <v>144</v>
      </c>
      <c r="F670" s="22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979</v>
      </c>
      <c r="B671">
        <v>1</v>
      </c>
      <c r="C671">
        <v>16</v>
      </c>
      <c r="D671" s="9" t="s">
        <v>129</v>
      </c>
      <c r="E671" s="22">
        <v>449</v>
      </c>
      <c r="F671" s="22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980</v>
      </c>
      <c r="B672">
        <v>2</v>
      </c>
      <c r="C672">
        <v>6</v>
      </c>
      <c r="D672" s="9" t="s">
        <v>86</v>
      </c>
      <c r="E672" s="22">
        <v>156</v>
      </c>
      <c r="F672" s="22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981</v>
      </c>
      <c r="B673">
        <v>3</v>
      </c>
      <c r="C673">
        <v>3</v>
      </c>
      <c r="D673" s="9" t="s">
        <v>66</v>
      </c>
      <c r="E673" s="22">
        <v>49</v>
      </c>
      <c r="F673" s="22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982</v>
      </c>
      <c r="B674">
        <v>2</v>
      </c>
      <c r="C674">
        <v>6</v>
      </c>
      <c r="D674" s="9" t="s">
        <v>20</v>
      </c>
      <c r="E674" s="22">
        <v>246</v>
      </c>
      <c r="F674" s="22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983</v>
      </c>
      <c r="B675">
        <v>3</v>
      </c>
      <c r="C675">
        <v>3</v>
      </c>
      <c r="D675" s="9" t="s">
        <v>137</v>
      </c>
      <c r="E675" s="22">
        <v>10</v>
      </c>
      <c r="F675" s="22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984</v>
      </c>
      <c r="B676">
        <v>2</v>
      </c>
      <c r="C676">
        <v>5</v>
      </c>
      <c r="D676" s="9" t="s">
        <v>128</v>
      </c>
      <c r="E676" s="22">
        <v>140</v>
      </c>
      <c r="F676" s="22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985</v>
      </c>
      <c r="B677">
        <v>1</v>
      </c>
      <c r="C677">
        <v>18</v>
      </c>
      <c r="D677" s="9" t="s">
        <v>120</v>
      </c>
      <c r="E677" s="22">
        <v>679</v>
      </c>
      <c r="F677" s="22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986</v>
      </c>
      <c r="B678">
        <v>3</v>
      </c>
      <c r="C678">
        <v>4</v>
      </c>
      <c r="D678" s="9" t="s">
        <v>57</v>
      </c>
      <c r="E678" s="22">
        <v>68</v>
      </c>
      <c r="F678" s="22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987</v>
      </c>
      <c r="B679">
        <v>2</v>
      </c>
      <c r="C679">
        <v>3</v>
      </c>
      <c r="D679" s="9" t="s">
        <v>255</v>
      </c>
      <c r="E679" s="22">
        <v>48</v>
      </c>
      <c r="F679" s="22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988</v>
      </c>
      <c r="B680">
        <v>3</v>
      </c>
      <c r="C680">
        <v>4</v>
      </c>
      <c r="D680" s="9" t="s">
        <v>18</v>
      </c>
      <c r="E680" s="22">
        <v>101</v>
      </c>
      <c r="F680" s="22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989</v>
      </c>
      <c r="B681">
        <v>2</v>
      </c>
      <c r="C681">
        <v>3</v>
      </c>
      <c r="D681" s="9" t="s">
        <v>61</v>
      </c>
      <c r="E681" s="22">
        <v>6</v>
      </c>
      <c r="F681" s="22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990</v>
      </c>
      <c r="B682">
        <v>3</v>
      </c>
      <c r="C682">
        <v>4</v>
      </c>
      <c r="D682" s="9" t="s">
        <v>73</v>
      </c>
      <c r="E682" s="22">
        <v>133</v>
      </c>
      <c r="F682" s="22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991</v>
      </c>
      <c r="B683">
        <v>2</v>
      </c>
      <c r="C683">
        <v>10</v>
      </c>
      <c r="D683" s="9" t="s">
        <v>265</v>
      </c>
      <c r="E683" s="22">
        <v>676</v>
      </c>
      <c r="F683" s="22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992</v>
      </c>
      <c r="B684">
        <v>2</v>
      </c>
      <c r="C684">
        <v>6</v>
      </c>
      <c r="D684" s="9" t="s">
        <v>154</v>
      </c>
      <c r="E684" s="22">
        <v>102</v>
      </c>
      <c r="F684" s="22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993</v>
      </c>
      <c r="B685">
        <v>3</v>
      </c>
      <c r="C685">
        <v>3</v>
      </c>
      <c r="D685" s="9" t="s">
        <v>154</v>
      </c>
      <c r="E685" s="22">
        <v>40</v>
      </c>
      <c r="F685" s="22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994</v>
      </c>
      <c r="B686">
        <v>2</v>
      </c>
      <c r="C686">
        <v>6</v>
      </c>
      <c r="D686" s="9" t="s">
        <v>121</v>
      </c>
      <c r="E686" s="22">
        <v>252</v>
      </c>
      <c r="F686" s="22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995</v>
      </c>
      <c r="B687">
        <v>3</v>
      </c>
      <c r="C687">
        <v>3</v>
      </c>
      <c r="D687" s="9" t="s">
        <v>54</v>
      </c>
      <c r="E687" s="22">
        <v>10</v>
      </c>
      <c r="F687" s="22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996</v>
      </c>
      <c r="B688">
        <v>2</v>
      </c>
      <c r="C688">
        <v>6</v>
      </c>
      <c r="D688" s="9" t="s">
        <v>98</v>
      </c>
      <c r="E688" s="22">
        <v>236</v>
      </c>
      <c r="F688" s="22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997</v>
      </c>
      <c r="B689">
        <v>1</v>
      </c>
      <c r="C689">
        <v>20</v>
      </c>
      <c r="D689" s="9" t="s">
        <v>137</v>
      </c>
      <c r="E689" s="22">
        <v>644</v>
      </c>
      <c r="F689" s="22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998</v>
      </c>
      <c r="B690">
        <v>3</v>
      </c>
      <c r="C690">
        <v>6</v>
      </c>
      <c r="D690" s="9" t="s">
        <v>115</v>
      </c>
      <c r="E690" s="22">
        <v>94</v>
      </c>
      <c r="F690" s="22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999</v>
      </c>
      <c r="B691">
        <v>2</v>
      </c>
      <c r="C691">
        <v>3</v>
      </c>
      <c r="D691" s="9" t="s">
        <v>115</v>
      </c>
      <c r="E691" s="22">
        <v>51</v>
      </c>
      <c r="F691" s="22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1000</v>
      </c>
      <c r="B692">
        <v>3</v>
      </c>
      <c r="C692">
        <v>6</v>
      </c>
      <c r="D692" s="9" t="s">
        <v>124</v>
      </c>
      <c r="E692" s="22">
        <v>212</v>
      </c>
      <c r="F692" s="22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1001</v>
      </c>
      <c r="B693">
        <v>2</v>
      </c>
      <c r="C693">
        <v>3</v>
      </c>
      <c r="D693" s="9" t="s">
        <v>129</v>
      </c>
      <c r="E693" s="22">
        <v>0</v>
      </c>
      <c r="F693" s="22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1002</v>
      </c>
      <c r="B694">
        <v>3</v>
      </c>
      <c r="C694">
        <v>6</v>
      </c>
      <c r="D694" s="9" t="s">
        <v>105</v>
      </c>
      <c r="E694" s="22">
        <v>280</v>
      </c>
      <c r="F694" s="22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1003</v>
      </c>
      <c r="B695">
        <v>1</v>
      </c>
      <c r="C695">
        <v>20</v>
      </c>
      <c r="D695" s="9" t="s">
        <v>270</v>
      </c>
      <c r="E695" s="22">
        <v>496</v>
      </c>
      <c r="F695" s="22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1004</v>
      </c>
      <c r="B696">
        <v>2</v>
      </c>
      <c r="C696">
        <v>6</v>
      </c>
      <c r="D696" s="9" t="s">
        <v>255</v>
      </c>
      <c r="E696" s="22">
        <v>86</v>
      </c>
      <c r="F696" s="22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1005</v>
      </c>
      <c r="B697">
        <v>3</v>
      </c>
      <c r="C697">
        <v>3</v>
      </c>
      <c r="D697" s="9" t="s">
        <v>154</v>
      </c>
      <c r="E697" s="22">
        <v>92</v>
      </c>
      <c r="F697" s="22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1006</v>
      </c>
      <c r="B698">
        <v>2</v>
      </c>
      <c r="C698">
        <v>6</v>
      </c>
      <c r="D698" s="9" t="s">
        <v>127</v>
      </c>
      <c r="E698" s="22">
        <v>237</v>
      </c>
      <c r="F698" s="22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1007</v>
      </c>
      <c r="B699">
        <v>3</v>
      </c>
      <c r="C699">
        <v>3</v>
      </c>
      <c r="D699" s="9" t="s">
        <v>261</v>
      </c>
      <c r="E699" s="22">
        <v>11</v>
      </c>
      <c r="F699" s="22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1008</v>
      </c>
      <c r="B700">
        <v>2</v>
      </c>
      <c r="C700">
        <v>6</v>
      </c>
      <c r="D700" s="9" t="s">
        <v>61</v>
      </c>
      <c r="E700" s="22">
        <v>111</v>
      </c>
      <c r="F700" s="22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1009</v>
      </c>
      <c r="B701">
        <v>1</v>
      </c>
      <c r="C701">
        <v>12</v>
      </c>
      <c r="D701" s="9" t="s">
        <v>118</v>
      </c>
      <c r="E701" s="22">
        <v>314</v>
      </c>
      <c r="F701" s="22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1010</v>
      </c>
      <c r="B702">
        <v>3</v>
      </c>
      <c r="C702">
        <v>5</v>
      </c>
      <c r="D702" s="9" t="s">
        <v>259</v>
      </c>
      <c r="E702" s="22">
        <v>79</v>
      </c>
      <c r="F702" s="22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1011</v>
      </c>
      <c r="B703">
        <v>2</v>
      </c>
      <c r="C703">
        <v>5</v>
      </c>
      <c r="D703" s="9" t="s">
        <v>241</v>
      </c>
      <c r="E703" s="22">
        <v>133</v>
      </c>
      <c r="F703" s="22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1012</v>
      </c>
      <c r="B704">
        <v>3</v>
      </c>
      <c r="C704">
        <v>5</v>
      </c>
      <c r="D704" s="9" t="s">
        <v>51</v>
      </c>
      <c r="E704" s="22">
        <v>150</v>
      </c>
      <c r="F704" s="22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1013</v>
      </c>
      <c r="B705">
        <v>2</v>
      </c>
      <c r="C705">
        <v>8</v>
      </c>
      <c r="D705" s="9" t="s">
        <v>66</v>
      </c>
      <c r="E705" s="22">
        <v>114</v>
      </c>
      <c r="F705" s="22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1014</v>
      </c>
      <c r="B706">
        <v>3</v>
      </c>
      <c r="C706">
        <v>4</v>
      </c>
      <c r="D706" s="9" t="s">
        <v>154</v>
      </c>
      <c r="E706" s="22">
        <v>61</v>
      </c>
      <c r="F706" s="22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1015</v>
      </c>
      <c r="B707">
        <v>1</v>
      </c>
      <c r="C707">
        <v>4</v>
      </c>
      <c r="D707" s="9" t="s">
        <v>66</v>
      </c>
      <c r="E707" s="22">
        <v>46</v>
      </c>
      <c r="F707" s="22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1016</v>
      </c>
      <c r="B708">
        <v>2</v>
      </c>
      <c r="C708">
        <v>4</v>
      </c>
      <c r="D708" s="9" t="s">
        <v>265</v>
      </c>
      <c r="E708" s="22">
        <v>135</v>
      </c>
      <c r="F708" s="22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1017</v>
      </c>
      <c r="B709">
        <v>1</v>
      </c>
      <c r="C709">
        <v>26</v>
      </c>
      <c r="D709" s="9" t="s">
        <v>273</v>
      </c>
      <c r="E709" s="22">
        <v>986</v>
      </c>
      <c r="F709" s="22">
        <v>155</v>
      </c>
      <c r="G709" s="1">
        <v>60</v>
      </c>
      <c r="H709" s="8" t="s">
        <v>274</v>
      </c>
      <c r="I709" s="1">
        <v>60</v>
      </c>
      <c r="J709" s="1"/>
      <c r="K709" s="1"/>
      <c r="L709" s="1"/>
    </row>
    <row r="710" spans="1:12" x14ac:dyDescent="0.2">
      <c r="A710" t="s">
        <v>1018</v>
      </c>
      <c r="B710">
        <v>2</v>
      </c>
      <c r="C710">
        <v>4</v>
      </c>
      <c r="D710" s="9" t="s">
        <v>225</v>
      </c>
      <c r="E710" s="22">
        <v>134</v>
      </c>
      <c r="F710" s="22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1019</v>
      </c>
      <c r="B711">
        <v>28</v>
      </c>
      <c r="C711">
        <v>6</v>
      </c>
      <c r="D711" s="9" t="s">
        <v>70</v>
      </c>
      <c r="E711" s="22">
        <v>98</v>
      </c>
      <c r="F711" s="22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1020</v>
      </c>
      <c r="B712">
        <v>1</v>
      </c>
      <c r="C712">
        <v>6</v>
      </c>
      <c r="D712" s="9" t="s">
        <v>109</v>
      </c>
      <c r="E712" s="22">
        <v>168</v>
      </c>
      <c r="F712" s="22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1021</v>
      </c>
      <c r="B713">
        <v>2</v>
      </c>
      <c r="C713">
        <v>6</v>
      </c>
      <c r="D713" s="9" t="s">
        <v>277</v>
      </c>
      <c r="E713" s="22">
        <v>246</v>
      </c>
      <c r="F713" s="22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1022</v>
      </c>
      <c r="B714">
        <v>1</v>
      </c>
      <c r="C714">
        <v>6</v>
      </c>
      <c r="D714" s="9" t="s">
        <v>278</v>
      </c>
      <c r="E714" s="22">
        <v>193</v>
      </c>
      <c r="F714" s="22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1023</v>
      </c>
      <c r="B715">
        <v>1</v>
      </c>
      <c r="C715">
        <v>7</v>
      </c>
      <c r="D715" s="9" t="s">
        <v>225</v>
      </c>
      <c r="E715" s="22">
        <v>245</v>
      </c>
      <c r="F715" s="22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1024</v>
      </c>
      <c r="B716">
        <v>2</v>
      </c>
      <c r="C716">
        <v>6</v>
      </c>
      <c r="D716" s="9" t="s">
        <v>118</v>
      </c>
      <c r="E716" s="22">
        <v>93</v>
      </c>
      <c r="F716" s="22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1025</v>
      </c>
      <c r="B717">
        <v>1</v>
      </c>
      <c r="C717">
        <v>7</v>
      </c>
      <c r="D717" s="9" t="s">
        <v>118</v>
      </c>
      <c r="E717" s="22">
        <v>130</v>
      </c>
      <c r="F717" s="22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1026</v>
      </c>
      <c r="B718">
        <v>1</v>
      </c>
      <c r="C718">
        <v>7</v>
      </c>
      <c r="D718" s="9" t="s">
        <v>101</v>
      </c>
      <c r="E718" s="22">
        <v>371</v>
      </c>
      <c r="F718" s="22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1027</v>
      </c>
      <c r="B719">
        <v>2</v>
      </c>
      <c r="C719">
        <v>8</v>
      </c>
      <c r="D719" s="9" t="s">
        <v>104</v>
      </c>
      <c r="E719" s="22">
        <v>525</v>
      </c>
      <c r="F719" s="22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1028</v>
      </c>
      <c r="B720">
        <v>2</v>
      </c>
      <c r="C720">
        <v>1</v>
      </c>
      <c r="D720" s="9" t="s">
        <v>128</v>
      </c>
      <c r="E720" s="22">
        <v>0</v>
      </c>
      <c r="F720" s="22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1028</v>
      </c>
      <c r="B721">
        <v>2</v>
      </c>
      <c r="C721">
        <v>6</v>
      </c>
      <c r="D721" s="9" t="s">
        <v>107</v>
      </c>
      <c r="E721" s="22">
        <v>130</v>
      </c>
      <c r="F721" s="22">
        <v>134</v>
      </c>
      <c r="G721" s="1">
        <v>60</v>
      </c>
      <c r="H721" s="8" t="s">
        <v>173</v>
      </c>
      <c r="I721" s="1">
        <v>90</v>
      </c>
      <c r="J721" s="8" t="s">
        <v>293</v>
      </c>
      <c r="K721" s="1">
        <v>8</v>
      </c>
      <c r="L721" s="8" t="s">
        <v>291</v>
      </c>
    </row>
    <row r="722" spans="1:12" x14ac:dyDescent="0.2">
      <c r="A722" t="s">
        <v>1029</v>
      </c>
      <c r="B722">
        <v>1</v>
      </c>
      <c r="C722">
        <v>6</v>
      </c>
      <c r="D722" s="9" t="s">
        <v>65</v>
      </c>
      <c r="E722" s="22">
        <v>86</v>
      </c>
      <c r="F722" s="22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1030</v>
      </c>
      <c r="B723">
        <v>2</v>
      </c>
      <c r="C723">
        <v>7</v>
      </c>
      <c r="D723" s="9" t="s">
        <v>247</v>
      </c>
      <c r="E723" s="22">
        <v>256</v>
      </c>
      <c r="F723" s="22">
        <v>153</v>
      </c>
      <c r="G723" s="1">
        <v>60</v>
      </c>
      <c r="H723" s="8" t="s">
        <v>172</v>
      </c>
      <c r="I723" s="1">
        <v>80</v>
      </c>
      <c r="J723" s="8" t="s">
        <v>296</v>
      </c>
      <c r="K723" s="1">
        <v>1</v>
      </c>
      <c r="L723" s="1"/>
    </row>
    <row r="724" spans="1:12" x14ac:dyDescent="0.2">
      <c r="A724" t="s">
        <v>1031</v>
      </c>
      <c r="B724">
        <v>1</v>
      </c>
      <c r="C724">
        <v>6</v>
      </c>
      <c r="D724" s="9" t="s">
        <v>57</v>
      </c>
      <c r="E724" s="22">
        <v>131</v>
      </c>
      <c r="F724" s="22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1032</v>
      </c>
      <c r="B725">
        <v>2</v>
      </c>
      <c r="C725">
        <v>7</v>
      </c>
      <c r="D725" s="9" t="s">
        <v>45</v>
      </c>
      <c r="E725" s="22">
        <v>269</v>
      </c>
      <c r="F725" s="22">
        <v>161</v>
      </c>
      <c r="G725" s="1">
        <v>60</v>
      </c>
      <c r="H725" s="8" t="s">
        <v>289</v>
      </c>
      <c r="I725" s="1">
        <v>80</v>
      </c>
      <c r="J725" s="8" t="s">
        <v>290</v>
      </c>
      <c r="K725" s="1">
        <v>6</v>
      </c>
      <c r="L725" s="8" t="s">
        <v>291</v>
      </c>
    </row>
    <row r="726" spans="1:12" x14ac:dyDescent="0.2">
      <c r="A726" t="s">
        <v>1033</v>
      </c>
      <c r="B726">
        <v>1</v>
      </c>
      <c r="C726">
        <v>10</v>
      </c>
      <c r="D726" s="9" t="s">
        <v>221</v>
      </c>
      <c r="E726" s="22">
        <v>299</v>
      </c>
      <c r="F726" s="22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1034</v>
      </c>
      <c r="B727">
        <v>1</v>
      </c>
      <c r="C727">
        <v>7</v>
      </c>
      <c r="D727" s="9" t="s">
        <v>255</v>
      </c>
      <c r="E727" s="22">
        <v>468</v>
      </c>
      <c r="F727" s="22">
        <v>151</v>
      </c>
      <c r="G727" s="1">
        <v>60</v>
      </c>
      <c r="H727" s="8" t="s">
        <v>173</v>
      </c>
      <c r="I727" s="1">
        <v>90</v>
      </c>
      <c r="J727" s="8" t="s">
        <v>293</v>
      </c>
      <c r="K727" s="1">
        <v>8</v>
      </c>
      <c r="L727" s="8" t="s">
        <v>291</v>
      </c>
    </row>
    <row r="728" spans="1:12" x14ac:dyDescent="0.2">
      <c r="A728" t="s">
        <v>1035</v>
      </c>
      <c r="B728">
        <v>2</v>
      </c>
      <c r="C728">
        <v>6</v>
      </c>
      <c r="D728" s="9" t="s">
        <v>270</v>
      </c>
      <c r="E728" s="22">
        <v>275</v>
      </c>
      <c r="F728" s="22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1036</v>
      </c>
      <c r="B729">
        <v>1</v>
      </c>
      <c r="C729">
        <v>8</v>
      </c>
      <c r="D729" s="9" t="s">
        <v>139</v>
      </c>
      <c r="E729" s="22">
        <v>161</v>
      </c>
      <c r="F729" s="22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1037</v>
      </c>
      <c r="B730">
        <v>2</v>
      </c>
      <c r="C730">
        <v>6</v>
      </c>
      <c r="D730" s="9" t="s">
        <v>124</v>
      </c>
      <c r="E730" s="22">
        <v>196</v>
      </c>
      <c r="F730" s="22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1038</v>
      </c>
      <c r="B731">
        <v>1</v>
      </c>
      <c r="C731">
        <v>7</v>
      </c>
      <c r="D731" s="9" t="s">
        <v>70</v>
      </c>
      <c r="E731" s="22">
        <v>248</v>
      </c>
      <c r="F731" s="22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1039</v>
      </c>
      <c r="B732">
        <v>2</v>
      </c>
      <c r="C732">
        <v>11</v>
      </c>
      <c r="D732" s="9" t="s">
        <v>297</v>
      </c>
      <c r="E732" s="22">
        <v>848</v>
      </c>
      <c r="F732" s="22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1040</v>
      </c>
      <c r="B733">
        <v>2</v>
      </c>
      <c r="C733">
        <v>8</v>
      </c>
      <c r="D733" s="9" t="s">
        <v>26</v>
      </c>
      <c r="E733" s="22">
        <v>110</v>
      </c>
      <c r="F733" s="22">
        <v>156</v>
      </c>
      <c r="G733" s="1">
        <v>70</v>
      </c>
      <c r="H733" s="8" t="s">
        <v>173</v>
      </c>
      <c r="I733" s="1">
        <v>90</v>
      </c>
      <c r="J733" s="8" t="s">
        <v>293</v>
      </c>
      <c r="K733" s="1">
        <v>8</v>
      </c>
      <c r="L733" s="8" t="s">
        <v>291</v>
      </c>
    </row>
    <row r="734" spans="1:12" x14ac:dyDescent="0.2">
      <c r="A734" t="s">
        <v>1041</v>
      </c>
      <c r="B734">
        <v>1</v>
      </c>
      <c r="C734">
        <v>6</v>
      </c>
      <c r="D734" s="9" t="s">
        <v>265</v>
      </c>
      <c r="E734" s="22">
        <v>163</v>
      </c>
      <c r="F734" s="22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1042</v>
      </c>
      <c r="B735">
        <v>2</v>
      </c>
      <c r="C735">
        <v>8</v>
      </c>
      <c r="D735" s="9" t="s">
        <v>150</v>
      </c>
      <c r="E735" s="22">
        <v>132</v>
      </c>
      <c r="F735" s="22">
        <v>142</v>
      </c>
      <c r="G735" s="1">
        <v>70</v>
      </c>
      <c r="H735" s="8" t="s">
        <v>172</v>
      </c>
      <c r="I735" s="1">
        <v>80</v>
      </c>
      <c r="J735" s="8" t="s">
        <v>296</v>
      </c>
      <c r="K735" s="1">
        <v>1</v>
      </c>
      <c r="L735" s="1"/>
    </row>
    <row r="736" spans="1:12" x14ac:dyDescent="0.2">
      <c r="A736" t="s">
        <v>1043</v>
      </c>
      <c r="B736">
        <v>1</v>
      </c>
      <c r="C736">
        <v>6</v>
      </c>
      <c r="D736" s="9" t="s">
        <v>265</v>
      </c>
      <c r="E736" s="22">
        <v>248</v>
      </c>
      <c r="F736" s="22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1044</v>
      </c>
      <c r="B737">
        <v>2</v>
      </c>
      <c r="C737">
        <v>7</v>
      </c>
      <c r="D737" s="9" t="s">
        <v>134</v>
      </c>
      <c r="E737" s="22">
        <v>106</v>
      </c>
      <c r="F737" s="22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1045</v>
      </c>
      <c r="B738">
        <v>1</v>
      </c>
      <c r="C738">
        <v>12</v>
      </c>
      <c r="D738" s="9" t="s">
        <v>221</v>
      </c>
      <c r="E738" s="22">
        <v>220</v>
      </c>
      <c r="F738" s="22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1046</v>
      </c>
      <c r="B739">
        <v>2</v>
      </c>
      <c r="C739">
        <v>8</v>
      </c>
      <c r="D739" s="9" t="s">
        <v>45</v>
      </c>
      <c r="E739" s="22">
        <v>569</v>
      </c>
      <c r="F739" s="22">
        <v>162</v>
      </c>
      <c r="G739" s="1">
        <v>70</v>
      </c>
      <c r="H739" s="8" t="s">
        <v>173</v>
      </c>
      <c r="I739" s="1">
        <v>90</v>
      </c>
      <c r="J739" s="8" t="s">
        <v>293</v>
      </c>
      <c r="K739" s="1">
        <v>6</v>
      </c>
      <c r="L739" s="8" t="s">
        <v>291</v>
      </c>
    </row>
    <row r="740" spans="1:12" x14ac:dyDescent="0.2">
      <c r="A740" t="s">
        <v>1047</v>
      </c>
      <c r="B740">
        <v>1</v>
      </c>
      <c r="C740">
        <v>6</v>
      </c>
      <c r="D740" s="9" t="s">
        <v>14</v>
      </c>
      <c r="E740" s="22">
        <v>224</v>
      </c>
      <c r="F740" s="22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1048</v>
      </c>
      <c r="B741">
        <v>2</v>
      </c>
      <c r="C741">
        <v>8</v>
      </c>
      <c r="D741" s="9" t="s">
        <v>11</v>
      </c>
      <c r="E741" s="22">
        <v>153</v>
      </c>
      <c r="F741" s="22">
        <v>150</v>
      </c>
      <c r="G741" s="1">
        <v>60</v>
      </c>
      <c r="H741" s="8" t="s">
        <v>172</v>
      </c>
      <c r="I741" s="1">
        <v>80</v>
      </c>
      <c r="J741" s="8" t="s">
        <v>292</v>
      </c>
      <c r="K741" s="1">
        <v>1</v>
      </c>
      <c r="L741" s="1"/>
    </row>
    <row r="742" spans="1:12" x14ac:dyDescent="0.2">
      <c r="A742" t="s">
        <v>1049</v>
      </c>
      <c r="B742">
        <v>1</v>
      </c>
      <c r="C742">
        <v>6</v>
      </c>
      <c r="D742" s="9" t="s">
        <v>129</v>
      </c>
      <c r="E742" s="22">
        <v>163</v>
      </c>
      <c r="F742" s="22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1050</v>
      </c>
      <c r="B743">
        <v>2</v>
      </c>
      <c r="C743">
        <v>8</v>
      </c>
      <c r="D743" s="9" t="s">
        <v>105</v>
      </c>
      <c r="E743" s="22">
        <v>118</v>
      </c>
      <c r="F743" s="22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1051</v>
      </c>
      <c r="B744">
        <v>1</v>
      </c>
      <c r="C744">
        <v>13</v>
      </c>
      <c r="D744" s="9" t="s">
        <v>113</v>
      </c>
      <c r="E744" s="22">
        <v>428</v>
      </c>
      <c r="F744" s="22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1052</v>
      </c>
      <c r="B745">
        <v>2</v>
      </c>
      <c r="C745">
        <v>8</v>
      </c>
      <c r="D745" s="9" t="s">
        <v>264</v>
      </c>
      <c r="E745" s="22">
        <v>211</v>
      </c>
      <c r="F745" s="22">
        <v>158</v>
      </c>
      <c r="G745" s="1">
        <v>60</v>
      </c>
      <c r="H745" s="8" t="s">
        <v>307</v>
      </c>
      <c r="I745" s="1">
        <v>85</v>
      </c>
      <c r="J745" s="8" t="s">
        <v>295</v>
      </c>
      <c r="K745" s="1">
        <v>3</v>
      </c>
      <c r="L745" s="8" t="s">
        <v>308</v>
      </c>
    </row>
    <row r="746" spans="1:12" x14ac:dyDescent="0.2">
      <c r="A746" t="s">
        <v>1053</v>
      </c>
      <c r="B746">
        <v>29</v>
      </c>
      <c r="C746">
        <v>6</v>
      </c>
      <c r="D746" s="9" t="s">
        <v>139</v>
      </c>
      <c r="E746" s="22">
        <v>88</v>
      </c>
      <c r="F746" s="22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1054</v>
      </c>
      <c r="B747">
        <v>2</v>
      </c>
      <c r="C747">
        <v>9</v>
      </c>
      <c r="D747" s="9" t="s">
        <v>28</v>
      </c>
      <c r="E747" s="22">
        <v>184</v>
      </c>
      <c r="F747" s="22">
        <v>155</v>
      </c>
      <c r="G747" s="1">
        <v>60</v>
      </c>
      <c r="H747" s="8" t="s">
        <v>172</v>
      </c>
      <c r="I747" s="1">
        <v>80</v>
      </c>
      <c r="J747" s="8" t="s">
        <v>310</v>
      </c>
      <c r="K747" s="1">
        <v>1</v>
      </c>
      <c r="L747" s="1"/>
    </row>
    <row r="748" spans="1:12" x14ac:dyDescent="0.2">
      <c r="A748" t="s">
        <v>1055</v>
      </c>
      <c r="B748">
        <v>1</v>
      </c>
      <c r="C748">
        <v>6</v>
      </c>
      <c r="D748" s="9" t="s">
        <v>57</v>
      </c>
      <c r="E748" s="22">
        <v>235</v>
      </c>
      <c r="F748" s="22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1056</v>
      </c>
      <c r="B749">
        <v>29</v>
      </c>
      <c r="C749">
        <v>6</v>
      </c>
      <c r="D749" s="9" t="s">
        <v>113</v>
      </c>
      <c r="E749" s="22">
        <v>241</v>
      </c>
      <c r="F749" s="22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1057</v>
      </c>
      <c r="B750">
        <v>2</v>
      </c>
      <c r="C750">
        <v>14</v>
      </c>
      <c r="D750" s="9" t="s">
        <v>65</v>
      </c>
      <c r="E750" s="22">
        <v>316</v>
      </c>
      <c r="F750" s="22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1058</v>
      </c>
      <c r="B751">
        <v>28</v>
      </c>
      <c r="C751">
        <v>8</v>
      </c>
      <c r="D751" s="9" t="s">
        <v>145</v>
      </c>
      <c r="E751" s="22">
        <v>535</v>
      </c>
      <c r="F751" s="22">
        <v>161</v>
      </c>
      <c r="G751" s="1">
        <v>60</v>
      </c>
      <c r="H751" s="8" t="s">
        <v>222</v>
      </c>
      <c r="I751" s="1">
        <v>90</v>
      </c>
      <c r="J751" s="8" t="s">
        <v>215</v>
      </c>
      <c r="K751" s="1"/>
      <c r="L751" s="1"/>
    </row>
    <row r="752" spans="1:12" x14ac:dyDescent="0.2">
      <c r="A752" t="s">
        <v>1059</v>
      </c>
      <c r="B752">
        <v>1</v>
      </c>
      <c r="C752">
        <v>6</v>
      </c>
      <c r="D752" s="9" t="s">
        <v>278</v>
      </c>
      <c r="E752" s="22">
        <v>156</v>
      </c>
      <c r="F752" s="22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1060</v>
      </c>
      <c r="B753">
        <v>28</v>
      </c>
      <c r="C753">
        <v>9</v>
      </c>
      <c r="D753" s="9" t="s">
        <v>70</v>
      </c>
      <c r="E753" s="22">
        <v>223</v>
      </c>
      <c r="F753" s="22">
        <v>154</v>
      </c>
      <c r="G753" s="1">
        <v>60</v>
      </c>
      <c r="H753" s="8" t="s">
        <v>172</v>
      </c>
      <c r="I753" s="1">
        <v>80</v>
      </c>
      <c r="J753" s="8" t="s">
        <v>310</v>
      </c>
      <c r="K753" s="1">
        <v>1</v>
      </c>
      <c r="L753" s="1"/>
    </row>
    <row r="754" spans="1:12" x14ac:dyDescent="0.2">
      <c r="A754" t="s">
        <v>1061</v>
      </c>
      <c r="B754">
        <v>1</v>
      </c>
      <c r="C754">
        <v>6</v>
      </c>
      <c r="D754" s="9" t="s">
        <v>73</v>
      </c>
      <c r="E754" s="22">
        <v>164</v>
      </c>
      <c r="F754" s="22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1062</v>
      </c>
      <c r="B755">
        <v>28</v>
      </c>
      <c r="C755">
        <v>8</v>
      </c>
      <c r="D755" s="9" t="s">
        <v>98</v>
      </c>
      <c r="E755" s="22">
        <v>457</v>
      </c>
      <c r="F755" s="22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1063</v>
      </c>
      <c r="B756">
        <v>1</v>
      </c>
      <c r="C756">
        <v>15</v>
      </c>
      <c r="D756" s="9" t="s">
        <v>113</v>
      </c>
      <c r="E756" s="22">
        <v>1256</v>
      </c>
      <c r="F756" s="22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1064</v>
      </c>
      <c r="B757">
        <v>1</v>
      </c>
      <c r="C757">
        <v>8</v>
      </c>
      <c r="D757" s="9" t="s">
        <v>62</v>
      </c>
      <c r="E757" s="22">
        <v>161</v>
      </c>
      <c r="F757" s="22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1065</v>
      </c>
      <c r="B758">
        <v>28</v>
      </c>
      <c r="C758">
        <v>8</v>
      </c>
      <c r="D758" s="9" t="s">
        <v>113</v>
      </c>
      <c r="E758" s="22">
        <v>85</v>
      </c>
      <c r="F758" s="22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1066</v>
      </c>
      <c r="B759">
        <v>1</v>
      </c>
      <c r="C759">
        <v>8</v>
      </c>
      <c r="D759" s="9" t="s">
        <v>265</v>
      </c>
      <c r="E759" s="22">
        <v>205</v>
      </c>
      <c r="F759" s="22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1067</v>
      </c>
      <c r="B760">
        <v>28</v>
      </c>
      <c r="C760">
        <v>12</v>
      </c>
      <c r="D760" s="9" t="s">
        <v>61</v>
      </c>
      <c r="E760" s="22">
        <v>296</v>
      </c>
      <c r="F760" s="22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1068</v>
      </c>
      <c r="B761">
        <v>30</v>
      </c>
      <c r="C761">
        <v>9</v>
      </c>
      <c r="D761" s="9" t="s">
        <v>19</v>
      </c>
      <c r="E761" s="22">
        <v>182</v>
      </c>
      <c r="F761" s="22">
        <v>167</v>
      </c>
      <c r="G761" s="1">
        <v>60</v>
      </c>
      <c r="H761" s="8" t="s">
        <v>307</v>
      </c>
      <c r="I761" s="1">
        <v>85</v>
      </c>
      <c r="J761" s="8" t="s">
        <v>295</v>
      </c>
      <c r="K761" s="1">
        <v>3</v>
      </c>
      <c r="L761" s="8" t="s">
        <v>308</v>
      </c>
    </row>
    <row r="762" spans="1:12" x14ac:dyDescent="0.2">
      <c r="A762" t="s">
        <v>1069</v>
      </c>
      <c r="B762">
        <v>28</v>
      </c>
      <c r="C762">
        <v>6</v>
      </c>
      <c r="D762" s="9" t="s">
        <v>20</v>
      </c>
      <c r="E762" s="22">
        <v>250</v>
      </c>
      <c r="F762" s="22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1070</v>
      </c>
      <c r="B763">
        <v>30</v>
      </c>
      <c r="C763">
        <v>7</v>
      </c>
      <c r="D763" s="9" t="s">
        <v>66</v>
      </c>
      <c r="E763" s="22">
        <v>185</v>
      </c>
      <c r="F763" s="22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1071</v>
      </c>
      <c r="B764">
        <v>28</v>
      </c>
      <c r="C764">
        <v>6</v>
      </c>
      <c r="D764" s="9" t="s">
        <v>97</v>
      </c>
      <c r="E764" s="22">
        <v>239</v>
      </c>
      <c r="F764" s="22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1072</v>
      </c>
      <c r="B765">
        <v>28</v>
      </c>
      <c r="C765">
        <v>9</v>
      </c>
      <c r="D765" s="9" t="s">
        <v>86</v>
      </c>
      <c r="E765" s="22">
        <v>147</v>
      </c>
      <c r="F765" s="22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1073</v>
      </c>
      <c r="B766">
        <v>28</v>
      </c>
      <c r="C766">
        <v>15</v>
      </c>
      <c r="D766" s="9" t="s">
        <v>316</v>
      </c>
      <c r="E766" s="22">
        <v>329</v>
      </c>
      <c r="F766" s="22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1074</v>
      </c>
      <c r="B767">
        <v>28</v>
      </c>
      <c r="C767">
        <v>9</v>
      </c>
      <c r="D767" s="9" t="s">
        <v>14</v>
      </c>
      <c r="E767" s="22">
        <v>609</v>
      </c>
      <c r="F767" s="22">
        <v>161</v>
      </c>
      <c r="G767" s="1">
        <v>60</v>
      </c>
      <c r="H767" s="8" t="s">
        <v>222</v>
      </c>
      <c r="I767" s="1">
        <v>85</v>
      </c>
      <c r="J767" s="1"/>
      <c r="K767" s="1"/>
      <c r="L767" s="1"/>
    </row>
    <row r="768" spans="1:12" x14ac:dyDescent="0.2">
      <c r="A768" t="s">
        <v>1075</v>
      </c>
      <c r="B768">
        <v>28</v>
      </c>
      <c r="C768">
        <v>6</v>
      </c>
      <c r="D768" s="9" t="s">
        <v>66</v>
      </c>
      <c r="E768" s="22">
        <v>162</v>
      </c>
      <c r="F768" s="22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1076</v>
      </c>
      <c r="B769">
        <v>31</v>
      </c>
      <c r="C769">
        <v>9</v>
      </c>
      <c r="D769" s="9" t="s">
        <v>258</v>
      </c>
      <c r="E769" s="22">
        <v>105</v>
      </c>
      <c r="F769" s="22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1077</v>
      </c>
      <c r="B770">
        <v>31</v>
      </c>
      <c r="C770">
        <v>6</v>
      </c>
      <c r="D770" s="9" t="s">
        <v>14</v>
      </c>
      <c r="E770" s="22">
        <v>156</v>
      </c>
      <c r="F770" s="22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1078</v>
      </c>
      <c r="B771">
        <v>28</v>
      </c>
      <c r="C771">
        <v>9</v>
      </c>
      <c r="D771" s="9" t="s">
        <v>124</v>
      </c>
      <c r="E771" s="22">
        <v>100</v>
      </c>
      <c r="F771" s="22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1079</v>
      </c>
      <c r="B772">
        <v>31</v>
      </c>
      <c r="C772">
        <v>15</v>
      </c>
      <c r="D772" s="9" t="s">
        <v>153</v>
      </c>
      <c r="E772" s="22">
        <v>430</v>
      </c>
      <c r="F772" s="22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1080</v>
      </c>
      <c r="B773">
        <v>31</v>
      </c>
      <c r="C773">
        <v>9</v>
      </c>
      <c r="D773" s="9" t="s">
        <v>118</v>
      </c>
      <c r="E773" s="22">
        <v>478</v>
      </c>
      <c r="F773" s="22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1081</v>
      </c>
      <c r="B774">
        <v>28</v>
      </c>
      <c r="C774">
        <v>6</v>
      </c>
      <c r="D774" s="9" t="s">
        <v>154</v>
      </c>
      <c r="E774" s="22">
        <v>167</v>
      </c>
      <c r="F774" s="22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1082</v>
      </c>
      <c r="B775">
        <v>31</v>
      </c>
      <c r="C775">
        <v>9</v>
      </c>
      <c r="D775" s="9" t="s">
        <v>260</v>
      </c>
      <c r="E775" s="22">
        <v>131</v>
      </c>
      <c r="F775" s="22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customWidth="1"/>
    <col min="2" max="2" width="9.140625" style="24"/>
  </cols>
  <sheetData>
    <row r="1" spans="1:2" x14ac:dyDescent="0.2">
      <c r="A1" t="s">
        <v>3</v>
      </c>
      <c r="B1" s="24">
        <v>9385.73</v>
      </c>
    </row>
    <row r="3" spans="1:2" x14ac:dyDescent="0.2">
      <c r="A3" t="s">
        <v>1139</v>
      </c>
      <c r="B3" s="24">
        <v>143</v>
      </c>
    </row>
    <row r="4" spans="1:2" x14ac:dyDescent="0.2">
      <c r="A4" t="s">
        <v>1136</v>
      </c>
      <c r="B4" s="24">
        <v>240</v>
      </c>
    </row>
    <row r="5" spans="1:2" x14ac:dyDescent="0.2">
      <c r="A5" t="s">
        <v>1135</v>
      </c>
      <c r="B5" s="24">
        <v>48</v>
      </c>
    </row>
    <row r="6" spans="1:2" x14ac:dyDescent="0.2">
      <c r="A6" t="s">
        <v>1120</v>
      </c>
      <c r="B6" s="24">
        <v>38.5</v>
      </c>
    </row>
    <row r="7" spans="1:2" x14ac:dyDescent="0.2">
      <c r="A7" t="s">
        <v>1124</v>
      </c>
      <c r="B7" s="24">
        <v>358</v>
      </c>
    </row>
    <row r="8" spans="1:2" x14ac:dyDescent="0.2">
      <c r="A8" t="s">
        <v>1123</v>
      </c>
      <c r="B8" s="24">
        <v>306</v>
      </c>
    </row>
    <row r="9" spans="1:2" x14ac:dyDescent="0.2">
      <c r="A9" t="s">
        <v>1115</v>
      </c>
      <c r="B9" s="24">
        <v>27</v>
      </c>
    </row>
    <row r="10" spans="1:2" x14ac:dyDescent="0.2">
      <c r="A10" t="s">
        <v>1109</v>
      </c>
      <c r="B10" s="24">
        <v>304</v>
      </c>
    </row>
    <row r="11" spans="1:2" x14ac:dyDescent="0.2">
      <c r="A11" t="s">
        <v>1105</v>
      </c>
      <c r="B11" s="24">
        <v>303.5</v>
      </c>
    </row>
    <row r="12" spans="1:2" x14ac:dyDescent="0.2">
      <c r="A12" t="s">
        <v>1103</v>
      </c>
      <c r="B12" s="24">
        <v>254</v>
      </c>
    </row>
    <row r="13" spans="1:2" x14ac:dyDescent="0.2">
      <c r="A13" t="s">
        <v>1100</v>
      </c>
      <c r="B13" s="24">
        <v>305</v>
      </c>
    </row>
    <row r="14" spans="1:2" x14ac:dyDescent="0.2">
      <c r="A14" t="s">
        <v>1098</v>
      </c>
      <c r="B14" s="24">
        <v>305</v>
      </c>
    </row>
    <row r="15" spans="1:2" x14ac:dyDescent="0.2">
      <c r="A15" t="s">
        <v>1095</v>
      </c>
      <c r="B15" s="24">
        <v>307</v>
      </c>
    </row>
    <row r="16" spans="1:2" x14ac:dyDescent="0.2">
      <c r="A16" t="s">
        <v>1092</v>
      </c>
      <c r="B16" s="24">
        <v>300</v>
      </c>
    </row>
    <row r="17" spans="1:2" x14ac:dyDescent="0.2">
      <c r="A17" t="s">
        <v>1090</v>
      </c>
      <c r="B17" s="24">
        <v>10</v>
      </c>
    </row>
    <row r="18" spans="1:2" x14ac:dyDescent="0.2">
      <c r="A18" t="s">
        <v>1088</v>
      </c>
      <c r="B18" s="24">
        <v>300</v>
      </c>
    </row>
    <row r="19" spans="1:2" x14ac:dyDescent="0.2">
      <c r="A19" t="s">
        <v>317</v>
      </c>
      <c r="B19" s="24">
        <v>309</v>
      </c>
    </row>
    <row r="20" spans="1:2" x14ac:dyDescent="0.2">
      <c r="A20" t="s">
        <v>314</v>
      </c>
      <c r="B20" s="24">
        <v>16</v>
      </c>
    </row>
    <row r="21" spans="1:2" x14ac:dyDescent="0.2">
      <c r="A21" t="s">
        <v>309</v>
      </c>
      <c r="B21" s="24">
        <v>12</v>
      </c>
    </row>
    <row r="22" spans="1:2" x14ac:dyDescent="0.2">
      <c r="A22" t="s">
        <v>275</v>
      </c>
      <c r="B22" s="24">
        <v>303</v>
      </c>
    </row>
    <row r="23" spans="1:2" x14ac:dyDescent="0.2">
      <c r="A23" t="s">
        <v>266</v>
      </c>
      <c r="B23" s="24">
        <v>306</v>
      </c>
    </row>
    <row r="24" spans="1:2" x14ac:dyDescent="0.2">
      <c r="A24" t="s">
        <v>263</v>
      </c>
      <c r="B24" s="24">
        <v>305</v>
      </c>
    </row>
    <row r="25" spans="1:2" x14ac:dyDescent="0.2">
      <c r="A25" t="s">
        <v>253</v>
      </c>
      <c r="B25" s="24">
        <v>301</v>
      </c>
    </row>
    <row r="26" spans="1:2" x14ac:dyDescent="0.2">
      <c r="A26" t="s">
        <v>250</v>
      </c>
      <c r="B26" s="24">
        <v>9.6999999999999993</v>
      </c>
    </row>
    <row r="27" spans="1:2" x14ac:dyDescent="0.2">
      <c r="A27" t="s">
        <v>248</v>
      </c>
      <c r="B27" s="24">
        <v>304</v>
      </c>
    </row>
    <row r="28" spans="1:2" x14ac:dyDescent="0.2">
      <c r="A28" t="s">
        <v>167</v>
      </c>
      <c r="B28" s="24">
        <v>303.5</v>
      </c>
    </row>
    <row r="29" spans="1:2" x14ac:dyDescent="0.2">
      <c r="A29" t="s">
        <v>157</v>
      </c>
      <c r="B29" s="24">
        <v>62</v>
      </c>
    </row>
    <row r="30" spans="1:2" x14ac:dyDescent="0.2">
      <c r="A30" t="s">
        <v>156</v>
      </c>
      <c r="B30" s="24">
        <v>300.7</v>
      </c>
    </row>
    <row r="31" spans="1:2" x14ac:dyDescent="0.2">
      <c r="A31" t="s">
        <v>142</v>
      </c>
      <c r="B31" s="24">
        <v>68.83</v>
      </c>
    </row>
    <row r="32" spans="1:2" x14ac:dyDescent="0.2">
      <c r="A32" t="s">
        <v>140</v>
      </c>
      <c r="B32" s="24">
        <v>115</v>
      </c>
    </row>
    <row r="33" spans="1:2" x14ac:dyDescent="0.2">
      <c r="A33" t="s">
        <v>135</v>
      </c>
      <c r="B33" s="24">
        <v>178</v>
      </c>
    </row>
    <row r="34" spans="1:2" x14ac:dyDescent="0.2">
      <c r="A34" t="s">
        <v>123</v>
      </c>
      <c r="B34" s="24">
        <v>169</v>
      </c>
    </row>
    <row r="35" spans="1:2" x14ac:dyDescent="0.2">
      <c r="A35" t="s">
        <v>111</v>
      </c>
      <c r="B35" s="24">
        <v>186</v>
      </c>
    </row>
    <row r="36" spans="1:2" x14ac:dyDescent="0.2">
      <c r="A36" t="s">
        <v>95</v>
      </c>
      <c r="B36" s="24">
        <v>131</v>
      </c>
    </row>
    <row r="37" spans="1:2" x14ac:dyDescent="0.2">
      <c r="A37" t="s">
        <v>96</v>
      </c>
      <c r="B37" s="24">
        <v>12</v>
      </c>
    </row>
    <row r="38" spans="1:2" x14ac:dyDescent="0.2">
      <c r="A38" t="s">
        <v>91</v>
      </c>
      <c r="B38" s="24">
        <v>196</v>
      </c>
    </row>
    <row r="39" spans="1:2" x14ac:dyDescent="0.2">
      <c r="A39" t="s">
        <v>72</v>
      </c>
      <c r="B39" s="24">
        <v>261</v>
      </c>
    </row>
    <row r="40" spans="1:2" x14ac:dyDescent="0.2">
      <c r="A40" t="s">
        <v>59</v>
      </c>
      <c r="B40" s="24">
        <v>234</v>
      </c>
    </row>
    <row r="41" spans="1:2" x14ac:dyDescent="0.2">
      <c r="A41" t="s">
        <v>60</v>
      </c>
      <c r="B41" s="24">
        <v>298</v>
      </c>
    </row>
    <row r="42" spans="1:2" x14ac:dyDescent="0.2">
      <c r="A42" t="s">
        <v>38</v>
      </c>
      <c r="B42" s="24">
        <v>6</v>
      </c>
    </row>
    <row r="43" spans="1:2" x14ac:dyDescent="0.2">
      <c r="A43" t="s">
        <v>37</v>
      </c>
      <c r="B43" s="24">
        <v>12</v>
      </c>
    </row>
    <row r="44" spans="1:2" x14ac:dyDescent="0.2">
      <c r="A44" t="s">
        <v>36</v>
      </c>
      <c r="B44" s="24">
        <v>246</v>
      </c>
    </row>
    <row r="45" spans="1:2" x14ac:dyDescent="0.2">
      <c r="A45" t="s">
        <v>35</v>
      </c>
      <c r="B45" s="24">
        <v>260</v>
      </c>
    </row>
    <row r="46" spans="1:2" x14ac:dyDescent="0.2">
      <c r="A46" t="s">
        <v>34</v>
      </c>
      <c r="B46" s="24">
        <v>321</v>
      </c>
    </row>
    <row r="47" spans="1:2" x14ac:dyDescent="0.2">
      <c r="A47" t="s">
        <v>33</v>
      </c>
      <c r="B47" s="24">
        <v>36</v>
      </c>
    </row>
    <row r="48" spans="1:2" x14ac:dyDescent="0.2">
      <c r="A48" t="s">
        <v>32</v>
      </c>
      <c r="B48" s="24">
        <v>284</v>
      </c>
    </row>
    <row r="49" spans="1:2" x14ac:dyDescent="0.2">
      <c r="A49" t="s">
        <v>31</v>
      </c>
      <c r="B49" s="24">
        <v>291</v>
      </c>
    </row>
  </sheetData>
  <sortState ref="A3:A1268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5" t="s">
        <v>176</v>
      </c>
      <c r="B1" s="15" t="s">
        <v>5</v>
      </c>
      <c r="C1" s="15" t="s">
        <v>177</v>
      </c>
      <c r="D1" s="15" t="s">
        <v>183</v>
      </c>
      <c r="E1" s="15" t="s">
        <v>184</v>
      </c>
    </row>
    <row r="2" spans="1:5" x14ac:dyDescent="0.2">
      <c r="A2" t="s">
        <v>173</v>
      </c>
      <c r="B2" s="16" t="s">
        <v>211</v>
      </c>
      <c r="C2" s="17" t="s">
        <v>178</v>
      </c>
      <c r="D2" s="17" t="s">
        <v>185</v>
      </c>
      <c r="E2" s="17" t="s">
        <v>186</v>
      </c>
    </row>
    <row r="3" spans="1:5" x14ac:dyDescent="0.2">
      <c r="A3" t="s">
        <v>171</v>
      </c>
      <c r="B3" s="16" t="s">
        <v>212</v>
      </c>
      <c r="C3" s="17" t="s">
        <v>181</v>
      </c>
      <c r="D3" s="17" t="s">
        <v>187</v>
      </c>
      <c r="E3" s="17" t="s">
        <v>179</v>
      </c>
    </row>
    <row r="4" spans="1:5" x14ac:dyDescent="0.2">
      <c r="A4" t="s">
        <v>172</v>
      </c>
      <c r="B4" s="16" t="s">
        <v>213</v>
      </c>
      <c r="C4" s="17" t="s">
        <v>182</v>
      </c>
      <c r="D4" s="17" t="s">
        <v>189</v>
      </c>
      <c r="E4" s="17" t="s">
        <v>180</v>
      </c>
    </row>
    <row r="5" spans="1:5" x14ac:dyDescent="0.2">
      <c r="A5" t="s">
        <v>197</v>
      </c>
      <c r="B5" s="16" t="s">
        <v>198</v>
      </c>
      <c r="C5" s="17" t="s">
        <v>201</v>
      </c>
      <c r="D5" s="17" t="s">
        <v>203</v>
      </c>
      <c r="E5" s="17" t="s">
        <v>199</v>
      </c>
    </row>
    <row r="6" spans="1:5" x14ac:dyDescent="0.2">
      <c r="A6" t="s">
        <v>200</v>
      </c>
      <c r="B6" s="16" t="s">
        <v>198</v>
      </c>
      <c r="C6" s="17" t="s">
        <v>201</v>
      </c>
      <c r="D6" s="17" t="s">
        <v>202</v>
      </c>
      <c r="E6" s="17" t="s">
        <v>199</v>
      </c>
    </row>
    <row r="7" spans="1:5" x14ac:dyDescent="0.2">
      <c r="A7" t="s">
        <v>204</v>
      </c>
      <c r="B7" s="16" t="s">
        <v>205</v>
      </c>
      <c r="C7" s="17">
        <v>8</v>
      </c>
      <c r="D7" s="17" t="s">
        <v>206</v>
      </c>
      <c r="E7" s="17" t="s">
        <v>207</v>
      </c>
    </row>
    <row r="8" spans="1:5" x14ac:dyDescent="0.2">
      <c r="A8" t="s">
        <v>210</v>
      </c>
      <c r="B8" s="16" t="s">
        <v>214</v>
      </c>
      <c r="C8" s="17">
        <v>1</v>
      </c>
      <c r="D8" s="17" t="s">
        <v>215</v>
      </c>
      <c r="E8" s="17" t="s">
        <v>180</v>
      </c>
    </row>
    <row r="9" spans="1:5" x14ac:dyDescent="0.2">
      <c r="A9" t="s">
        <v>209</v>
      </c>
      <c r="B9" s="16" t="s">
        <v>216</v>
      </c>
      <c r="C9" s="17">
        <v>1</v>
      </c>
      <c r="D9" s="17" t="s">
        <v>215</v>
      </c>
      <c r="E9" s="17" t="s">
        <v>180</v>
      </c>
    </row>
    <row r="10" spans="1:5" x14ac:dyDescent="0.2">
      <c r="A10" t="s">
        <v>222</v>
      </c>
      <c r="B10" s="16" t="s">
        <v>223</v>
      </c>
      <c r="C10" s="17">
        <v>10</v>
      </c>
      <c r="D10" s="17" t="s">
        <v>215</v>
      </c>
      <c r="E10" s="17" t="s">
        <v>215</v>
      </c>
    </row>
    <row r="27" spans="2:5" x14ac:dyDescent="0.2">
      <c r="B27" s="16"/>
      <c r="C27" s="16"/>
      <c r="D27" s="16"/>
      <c r="E27" s="16"/>
    </row>
    <row r="28" spans="2:5" x14ac:dyDescent="0.2">
      <c r="B28" s="17"/>
      <c r="C28" s="17"/>
      <c r="D28" s="17"/>
      <c r="E28" s="17"/>
    </row>
    <row r="29" spans="2:5" x14ac:dyDescent="0.2">
      <c r="B29" s="17"/>
      <c r="C29" s="17"/>
      <c r="D29" s="17"/>
      <c r="E29" s="17"/>
    </row>
    <row r="30" spans="2:5" x14ac:dyDescent="0.2">
      <c r="B30" s="17"/>
      <c r="C30" s="17"/>
      <c r="D30" s="17"/>
      <c r="E30" s="17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4" t="s">
        <v>174</v>
      </c>
      <c r="B1" s="14" t="s">
        <v>175</v>
      </c>
    </row>
    <row r="2" spans="1:3" x14ac:dyDescent="0.2">
      <c r="A2" t="s">
        <v>172</v>
      </c>
      <c r="B2" s="10">
        <v>0.83362218370883889</v>
      </c>
      <c r="C2" s="10"/>
    </row>
    <row r="3" spans="1:3" x14ac:dyDescent="0.2">
      <c r="A3" t="s">
        <v>171</v>
      </c>
      <c r="B3" s="10">
        <v>0.75216637781629103</v>
      </c>
      <c r="C3" s="10"/>
    </row>
    <row r="4" spans="1:3" x14ac:dyDescent="0.2">
      <c r="A4" t="s">
        <v>173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195</v>
      </c>
      <c r="C1" s="11" t="s">
        <v>194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1">
        <v>26.2</v>
      </c>
      <c r="B2" s="20">
        <v>0.42708333333333331</v>
      </c>
      <c r="C2" s="30">
        <f t="shared" ref="C2:C5" si="0">VALUE((HOUR($B2)+(MINUTE($B2)/60)))</f>
        <v>10.25</v>
      </c>
      <c r="D2" s="29">
        <f t="shared" ref="D2:D4" si="1">A2*C2</f>
        <v>268.55</v>
      </c>
      <c r="E2" s="29">
        <f t="shared" ref="E2:E5" si="2">ROUND(D2/60,2)</f>
        <v>4.4800000000000004</v>
      </c>
      <c r="F2" s="29">
        <f t="shared" ref="F2:F4" si="3">(E2-TRUNC(E2))*100</f>
        <v>48.000000000000043</v>
      </c>
      <c r="G2" s="29">
        <f t="shared" ref="G2:G4" si="4">INT(LEFT(E2,FIND(".",E2)-1))</f>
        <v>4</v>
      </c>
      <c r="H2" s="18">
        <f t="shared" ref="H2:H5" si="5">TIME($G2,ROUND((($F2/100)*60),0),0)</f>
        <v>0.18680555555555556</v>
      </c>
      <c r="I2" s="18"/>
      <c r="J2" s="30"/>
      <c r="K2" s="30"/>
    </row>
    <row r="3" spans="1:11" x14ac:dyDescent="0.2">
      <c r="A3" s="31">
        <v>26.2</v>
      </c>
      <c r="B3" s="20">
        <v>0.40625</v>
      </c>
      <c r="C3" s="30">
        <f t="shared" si="0"/>
        <v>9.75</v>
      </c>
      <c r="D3" s="29">
        <f t="shared" si="1"/>
        <v>255.45</v>
      </c>
      <c r="E3" s="29">
        <f t="shared" si="2"/>
        <v>4.26</v>
      </c>
      <c r="F3" s="29">
        <f t="shared" si="3"/>
        <v>25.999999999999979</v>
      </c>
      <c r="G3" s="29">
        <f t="shared" si="4"/>
        <v>4</v>
      </c>
      <c r="H3" s="18">
        <f t="shared" si="5"/>
        <v>0.17777777777777778</v>
      </c>
      <c r="I3" s="18"/>
      <c r="J3" s="30"/>
      <c r="K3" s="30"/>
    </row>
    <row r="4" spans="1:11" x14ac:dyDescent="0.2">
      <c r="A4" s="31">
        <v>26.2</v>
      </c>
      <c r="B4" s="20">
        <v>0.39583333333333331</v>
      </c>
      <c r="C4" s="30">
        <f t="shared" si="0"/>
        <v>9.5</v>
      </c>
      <c r="D4" s="29">
        <f t="shared" si="1"/>
        <v>248.9</v>
      </c>
      <c r="E4" s="29">
        <f t="shared" si="2"/>
        <v>4.1500000000000004</v>
      </c>
      <c r="F4" s="29">
        <f t="shared" si="3"/>
        <v>15.000000000000036</v>
      </c>
      <c r="G4" s="29">
        <f t="shared" si="4"/>
        <v>4</v>
      </c>
      <c r="H4" s="18">
        <f t="shared" si="5"/>
        <v>0.17291666666666669</v>
      </c>
      <c r="I4" s="18"/>
      <c r="J4" s="28"/>
    </row>
    <row r="5" spans="1:11" x14ac:dyDescent="0.2">
      <c r="A5" s="31">
        <v>26.2</v>
      </c>
      <c r="B5" s="20">
        <v>0.38541666666666669</v>
      </c>
      <c r="C5" s="30">
        <f t="shared" si="0"/>
        <v>9.25</v>
      </c>
      <c r="D5" s="29">
        <f t="shared" ref="D5" si="6">A5*C5</f>
        <v>242.35</v>
      </c>
      <c r="E5" s="29">
        <f t="shared" si="2"/>
        <v>4.04</v>
      </c>
      <c r="F5" s="29">
        <f>(E5-TRUNC(E5))*100</f>
        <v>4.0000000000000036</v>
      </c>
      <c r="G5" s="29">
        <f t="shared" ref="G5" si="7">INT(LEFT(E5,FIND(".",E5)-1))</f>
        <v>4</v>
      </c>
      <c r="H5" s="18">
        <f t="shared" si="5"/>
        <v>0.16805555555555554</v>
      </c>
      <c r="I5" s="18"/>
      <c r="J5" s="30"/>
      <c r="K5" s="30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4" t="s">
        <v>191</v>
      </c>
      <c r="B1" s="14" t="s">
        <v>188</v>
      </c>
      <c r="C1" s="14" t="s">
        <v>5</v>
      </c>
      <c r="D1" s="14" t="s">
        <v>193</v>
      </c>
    </row>
    <row r="2" spans="1:4" x14ac:dyDescent="0.2">
      <c r="A2" s="17" t="s">
        <v>192</v>
      </c>
      <c r="B2" s="16">
        <v>0.13541666666666666</v>
      </c>
      <c r="C2" s="16">
        <v>0.30208333333333331</v>
      </c>
      <c r="D2" s="19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6">
        <v>0.32847222222222222</v>
      </c>
      <c r="B1" s="25">
        <f>IFERROR(AVERAGE(A1:A26),0)</f>
        <v>0.32743055555555556</v>
      </c>
      <c r="E1" s="25"/>
    </row>
    <row r="2" spans="1:5" x14ac:dyDescent="0.2">
      <c r="A2" s="26">
        <v>0.3263888888888889</v>
      </c>
      <c r="E2" s="25"/>
    </row>
    <row r="3" spans="1:5" x14ac:dyDescent="0.2">
      <c r="A3" s="26"/>
    </row>
    <row r="4" spans="1:5" x14ac:dyDescent="0.2">
      <c r="A4" s="26"/>
    </row>
    <row r="5" spans="1:5" x14ac:dyDescent="0.2">
      <c r="A5" s="26"/>
    </row>
    <row r="6" spans="1:5" x14ac:dyDescent="0.2">
      <c r="A6" s="26"/>
    </row>
    <row r="7" spans="1:5" x14ac:dyDescent="0.2">
      <c r="A7" s="26"/>
    </row>
    <row r="8" spans="1:5" x14ac:dyDescent="0.2">
      <c r="A8" s="26"/>
    </row>
    <row r="9" spans="1:5" x14ac:dyDescent="0.2">
      <c r="A9" s="27"/>
    </row>
    <row r="10" spans="1:5" x14ac:dyDescent="0.2">
      <c r="A10" s="27"/>
    </row>
    <row r="11" spans="1:5" x14ac:dyDescent="0.2">
      <c r="A11" s="27"/>
    </row>
    <row r="12" spans="1:5" x14ac:dyDescent="0.2">
      <c r="A12" s="27"/>
    </row>
    <row r="13" spans="1:5" x14ac:dyDescent="0.2">
      <c r="A13" s="27"/>
    </row>
    <row r="14" spans="1:5" x14ac:dyDescent="0.2">
      <c r="A14" s="27"/>
    </row>
    <row r="15" spans="1:5" x14ac:dyDescent="0.2">
      <c r="A15" s="27"/>
    </row>
    <row r="16" spans="1:5" x14ac:dyDescent="0.2">
      <c r="A16" s="27"/>
    </row>
    <row r="17" spans="1:1" x14ac:dyDescent="0.2">
      <c r="A17" s="27"/>
    </row>
    <row r="18" spans="1:1" x14ac:dyDescent="0.2">
      <c r="A18" s="27"/>
    </row>
    <row r="19" spans="1:1" x14ac:dyDescent="0.2">
      <c r="A19" s="27"/>
    </row>
    <row r="20" spans="1:1" x14ac:dyDescent="0.2">
      <c r="A20" s="27"/>
    </row>
    <row r="21" spans="1:1" x14ac:dyDescent="0.2">
      <c r="A21" s="27"/>
    </row>
    <row r="22" spans="1:1" x14ac:dyDescent="0.2">
      <c r="A22" s="27"/>
    </row>
    <row r="23" spans="1:1" x14ac:dyDescent="0.2">
      <c r="A23" s="27"/>
    </row>
    <row r="24" spans="1:1" x14ac:dyDescent="0.2">
      <c r="A24" s="27"/>
    </row>
    <row r="25" spans="1:1" x14ac:dyDescent="0.2">
      <c r="A25" s="27"/>
    </row>
    <row r="26" spans="1:1" x14ac:dyDescent="0.2">
      <c r="A26" s="2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">
      <c r="A2" s="27">
        <v>175</v>
      </c>
      <c r="B2">
        <v>2.2000000000000002</v>
      </c>
      <c r="C2" s="30">
        <f>+A2/B2</f>
        <v>79.545454545454533</v>
      </c>
      <c r="D2">
        <v>0.7</v>
      </c>
      <c r="E2" s="24">
        <f>+C2*D2</f>
        <v>55.681818181818173</v>
      </c>
      <c r="F2" t="s">
        <v>304</v>
      </c>
    </row>
    <row r="3" spans="1:6" x14ac:dyDescent="0.2">
      <c r="A3" s="13">
        <f>A2</f>
        <v>175</v>
      </c>
      <c r="B3">
        <v>2.2000000000000002</v>
      </c>
      <c r="C3" s="30">
        <f>+A3/B3</f>
        <v>79.545454545454533</v>
      </c>
      <c r="D3">
        <v>1</v>
      </c>
      <c r="E3" s="24">
        <f>+C3*D3</f>
        <v>79.545454545454533</v>
      </c>
      <c r="F3" t="s">
        <v>305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245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Mileage Log</vt:lpstr>
      <vt:lpstr>Weekly Plan</vt:lpstr>
      <vt:lpstr>Shoes</vt:lpstr>
      <vt:lpstr>Shoe ID</vt:lpstr>
      <vt:lpstr>Upload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2020-02-19T15:20:07Z</dcterms:modified>
</cp:coreProperties>
</file>